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A\EPL\"/>
    </mc:Choice>
  </mc:AlternateContent>
  <xr:revisionPtr revIDLastSave="0" documentId="13_ncr:1_{CE3277F9-215D-46BA-B1BA-7A2FCB6C31A3}" xr6:coauthVersionLast="47" xr6:coauthVersionMax="47" xr10:uidLastSave="{00000000-0000-0000-0000-000000000000}"/>
  <bookViews>
    <workbookView xWindow="10560" yWindow="0" windowWidth="12528" windowHeight="13656" tabRatio="740" activeTab="3" xr2:uid="{6B259156-C498-4933-9A18-E53B7EF09E70}"/>
  </bookViews>
  <sheets>
    <sheet name="ລາຍງານ" sheetId="5" r:id="rId1"/>
    <sheet name="ໜ້າລາຍງານຂົນສົ່ງ" sheetId="1" r:id="rId2"/>
    <sheet name="ໃບບິນຂົນສົ່ງ" sheetId="2" state="hidden" r:id="rId3"/>
    <sheet name="ໃບບິນອອກລົດ" sheetId="3" r:id="rId4"/>
    <sheet name="ໜ້າວຽກ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" i="1" l="1"/>
  <c r="C13" i="1" s="1"/>
  <c r="C51" i="3" l="1"/>
  <c r="E49" i="3"/>
  <c r="C26" i="3"/>
  <c r="E25" i="3"/>
  <c r="E24" i="3"/>
  <c r="E26" i="3" s="1"/>
  <c r="E42" i="3"/>
  <c r="E41" i="3"/>
  <c r="E36" i="3"/>
  <c r="E35" i="3"/>
  <c r="E34" i="3"/>
  <c r="E33" i="3"/>
  <c r="E32" i="3"/>
  <c r="E31" i="3"/>
  <c r="E30" i="3"/>
  <c r="E29" i="3"/>
  <c r="G9" i="2"/>
  <c r="E26" i="2"/>
  <c r="G25" i="2"/>
  <c r="G24" i="2"/>
  <c r="G23" i="2"/>
  <c r="G22" i="2"/>
  <c r="G21" i="2"/>
  <c r="G20" i="2"/>
  <c r="G19" i="2"/>
  <c r="E16" i="2"/>
  <c r="G15" i="2"/>
  <c r="G14" i="2"/>
  <c r="G16" i="2" s="1"/>
  <c r="E10" i="2"/>
  <c r="T6" i="1"/>
  <c r="B13" i="1" s="1"/>
  <c r="D13" i="1" s="1"/>
  <c r="E44" i="3" l="1"/>
  <c r="E38" i="3"/>
  <c r="C52" i="3" s="1"/>
  <c r="C53" i="3" s="1"/>
  <c r="G26" i="2"/>
  <c r="E28" i="2" s="1"/>
</calcChain>
</file>

<file path=xl/sharedStrings.xml><?xml version="1.0" encoding="utf-8"?>
<sst xmlns="http://schemas.openxmlformats.org/spreadsheetml/2006/main" count="316" uniqueCount="185">
  <si>
    <t>ເງີນເຕີມນ້ຳ</t>
  </si>
  <si>
    <t>ເງິນໃຊ້ຈ່າຍໄປຫວຽດນາມໄຫ້ໂຊເຟີ</t>
  </si>
  <si>
    <t>ຄ່າຊີບປີງລາວ (ສາງພາສີ)</t>
  </si>
  <si>
    <t>ຄ່າຊີບປີງຫວຽດ (1,800,000 ດົງ)</t>
  </si>
  <si>
    <t>ເງິນຄ່າຂົ້ວ</t>
  </si>
  <si>
    <t>ເງີນຄ່າທາງດ່ວນ</t>
  </si>
  <si>
    <t>ເງີນຖ້ຽວແກ່ແຮ່</t>
  </si>
  <si>
    <t>ໃສ່ນ້ຳມັນກາຊວນ</t>
  </si>
  <si>
    <t>SAMKET VILLAGE,SIKHOTTABONG DISTRICT VIENTIANE LAO</t>
  </si>
  <si>
    <t>ໂທລະສັບ/Tel: 020 5889 9983</t>
  </si>
  <si>
    <t>ໃບບີນຂົນສົ່ງ</t>
  </si>
  <si>
    <t>ບໍລິສັດຮັບແກ່:</t>
  </si>
  <si>
    <t>EPL</t>
  </si>
  <si>
    <t>ປະເພດສີນຄ້າ</t>
  </si>
  <si>
    <t>ແຮ່ເຫຼັກ</t>
  </si>
  <si>
    <t>ຍີຫໍ້:</t>
  </si>
  <si>
    <t>HOWO-430</t>
  </si>
  <si>
    <t>ນ້ຳໜັກສີນຄ້າຕົ້ນທາງ</t>
  </si>
  <si>
    <t>ເບີລົດ:</t>
  </si>
  <si>
    <t>341</t>
  </si>
  <si>
    <t>ນ້ຳໜັກສີນຄ້າປາຍທາງ</t>
  </si>
  <si>
    <t>ທະບຽນ ຫົວ:</t>
  </si>
  <si>
    <t>ບອ 3262</t>
  </si>
  <si>
    <t>ຊື່ລູກຄ້າ:</t>
  </si>
  <si>
    <t>ຄຳຕຸ້ຍ</t>
  </si>
  <si>
    <t>ທະບຽນຫາງ:</t>
  </si>
  <si>
    <t>ບອ 3282</t>
  </si>
  <si>
    <t>ເລກກົງເຕີ</t>
  </si>
  <si>
    <t>ຕົ້ນທາງ</t>
  </si>
  <si>
    <t>ກາສີ</t>
  </si>
  <si>
    <t>ຊື່ໂຊເຟີ:</t>
  </si>
  <si>
    <t>ທ້າວ ທັດສະດາພອນ</t>
  </si>
  <si>
    <t>ປາຍທາງ</t>
  </si>
  <si>
    <t>ກາລໍ</t>
  </si>
  <si>
    <t>I. ລາຍການໃສ່ນ້ຳມັນ</t>
  </si>
  <si>
    <t>ຈຳນວນ</t>
  </si>
  <si>
    <t>ມູນຄາ</t>
  </si>
  <si>
    <t>ລວມ</t>
  </si>
  <si>
    <t>ຜູ້ໃສ່ນຳ້ມັນ:</t>
  </si>
  <si>
    <t>.............................</t>
  </si>
  <si>
    <t>ຜູ້ກວດການ້ຳມັນ:</t>
  </si>
  <si>
    <t>...........................</t>
  </si>
  <si>
    <t>II. ລາຍການຈ່າຍ</t>
  </si>
  <si>
    <t>ຈຳນວນເງີນ</t>
  </si>
  <si>
    <t>ລວມ ຕ້ອງຈ່າຍໃຫ້ໂຊເຟີ</t>
  </si>
  <si>
    <t>ລວມທັງໝົດລາວ</t>
  </si>
  <si>
    <t>ໂຊເຟີ</t>
  </si>
  <si>
    <t>ຜູ້ພີມບີນ</t>
  </si>
  <si>
    <t>ຜູ້ຈ່າຍເງີນ</t>
  </si>
  <si>
    <t>ລາຍຮັບ</t>
  </si>
  <si>
    <t>ລ/ດ</t>
  </si>
  <si>
    <t>ວດປ</t>
  </si>
  <si>
    <t>ລູກຄ້າ</t>
  </si>
  <si>
    <t>ເລກທີ</t>
  </si>
  <si>
    <t>ລາຄາ</t>
  </si>
  <si>
    <t>ມູນຄ່າ</t>
  </si>
  <si>
    <t>ເບີລົດ</t>
  </si>
  <si>
    <t>ລົດຫົວ</t>
  </si>
  <si>
    <t>ລົດຫາງ</t>
  </si>
  <si>
    <t>ສະຖານທີ່ຂົນສົ່ງ</t>
  </si>
  <si>
    <t>ບິນແຮ່</t>
  </si>
  <si>
    <t>ຊື່ໂຊເຟີ
ຂັບລົດ</t>
  </si>
  <si>
    <t>ບໍລິສັດ
ຮັບແກ່</t>
  </si>
  <si>
    <t>ຫົວ
ໜ່ວຍ</t>
  </si>
  <si>
    <t>ປະເພດ
ສິນຄ້າ</t>
  </si>
  <si>
    <t>ຈຳນວນ
ຖ້ຽວ</t>
  </si>
  <si>
    <t>ລານອີພີເອວ</t>
  </si>
  <si>
    <t>ທ່າເຮືອກະລໍ</t>
  </si>
  <si>
    <t>ຕ້ວນຖັງ</t>
  </si>
  <si>
    <t>ແຮ່ເຫລັກ</t>
  </si>
  <si>
    <t>ໂຕນ</t>
  </si>
  <si>
    <t>ນໍ້າໜັກສິນຄ້າ</t>
  </si>
  <si>
    <t>USD</t>
  </si>
  <si>
    <t>ພາຫະນະ</t>
  </si>
  <si>
    <t>ບິນຂົນສົ່ງ</t>
  </si>
  <si>
    <t>ບອ3262</t>
  </si>
  <si>
    <t>ບອ3282</t>
  </si>
  <si>
    <r>
      <rPr>
        <b/>
        <sz val="10"/>
        <color rgb="FF000000"/>
        <rFont val="Phetsarath OT"/>
      </rPr>
      <t xml:space="preserve">  </t>
    </r>
    <r>
      <rPr>
        <b/>
        <u/>
        <sz val="10"/>
        <color indexed="8"/>
        <rFont val="Phetsarath OT"/>
      </rPr>
      <t>ລາຄາ</t>
    </r>
  </si>
  <si>
    <r>
      <rPr>
        <b/>
        <sz val="10"/>
        <color rgb="FF000000"/>
        <rFont val="Phetsarath OT"/>
      </rPr>
      <t xml:space="preserve">  </t>
    </r>
    <r>
      <rPr>
        <b/>
        <u/>
        <sz val="10"/>
        <color indexed="8"/>
        <rFont val="Phetsarath OT"/>
      </rPr>
      <t>ມູນຄ່າ</t>
    </r>
  </si>
  <si>
    <r>
      <t>ຄ່າຊີບປີງຫວຽດ (</t>
    </r>
    <r>
      <rPr>
        <b/>
        <sz val="11"/>
        <color indexed="8"/>
        <rFont val="Times New Roman"/>
        <family val="1"/>
      </rPr>
      <t>1,800,000</t>
    </r>
    <r>
      <rPr>
        <b/>
        <sz val="11"/>
        <color indexed="8"/>
        <rFont val="Phetsarath OT"/>
      </rPr>
      <t xml:space="preserve"> ດົງ)</t>
    </r>
  </si>
  <si>
    <t>ໃບເບີກລົດອອກໄປຂົນສົ່ງ</t>
  </si>
  <si>
    <t>ສະຖານທີ່ໃສ່</t>
  </si>
  <si>
    <t>ລາຍຈ່າຍນໍ້າມັນ</t>
  </si>
  <si>
    <t>ລາຍການ</t>
  </si>
  <si>
    <t>ນ້ຳມັນກາຊວນ</t>
  </si>
  <si>
    <t>ລາຍຈ່າຍສ້ອມແປງ</t>
  </si>
  <si>
    <t>ລາຍຈ່າຍເດີນທາງ</t>
  </si>
  <si>
    <t>LAK</t>
  </si>
  <si>
    <t>VND</t>
  </si>
  <si>
    <t>ໝາຍເຫດ</t>
  </si>
  <si>
    <t>ໃສ່ສາງທ່າບົກ</t>
  </si>
  <si>
    <t>ຢູ່ປໍ້າ VN</t>
  </si>
  <si>
    <t>Rate</t>
  </si>
  <si>
    <t>THB</t>
  </si>
  <si>
    <t>ລາຍຈ່າຍອື່ນໆ</t>
  </si>
  <si>
    <t>ລາຍຈ່າຍທັງໝົດ</t>
  </si>
  <si>
    <t>ຮັບ-ຈ່າຍໃນຖ່ຽວ</t>
  </si>
  <si>
    <t>T4-0428-08/EPL</t>
  </si>
  <si>
    <t>ລູກຄ້າ:</t>
  </si>
  <si>
    <t>ປະເພດ ສິນຄ້າ:</t>
  </si>
  <si>
    <t>ຕົ້ນທາງ:</t>
  </si>
  <si>
    <t>ປາຍທາງ:</t>
  </si>
  <si>
    <t>ວັນທີບິນແຮ່:</t>
  </si>
  <si>
    <t>ເລກທີບິນແຮ່:</t>
  </si>
  <si>
    <t>ວັນທີ ລົດກັບ:</t>
  </si>
  <si>
    <t>ວັນທີອອກລົດ:</t>
  </si>
  <si>
    <t>ວັນທີອອກບິນ:</t>
  </si>
  <si>
    <t>ເລກທີ:</t>
  </si>
  <si>
    <t>ເລກກົງເຕີ:</t>
  </si>
  <si>
    <t>ນ້ຳໜັກສີນຄ້າຕົ້ນທາງ:</t>
  </si>
  <si>
    <t>ນ້ຳໜັກສີນຄ້າປາຍທາງ:</t>
  </si>
  <si>
    <t>1211/70</t>
  </si>
  <si>
    <t>625/402</t>
  </si>
  <si>
    <t>614/402</t>
  </si>
  <si>
    <t>614/371</t>
  </si>
  <si>
    <t>625/371</t>
  </si>
  <si>
    <t>ຈ່າຍຕາມຖ່ຽວພ້ອມເງິນເດືອນ</t>
  </si>
  <si>
    <t>ຈ່າຍເລີຍຕາມໂຊເຟີອອກລົດ</t>
  </si>
  <si>
    <t>ຕິດໜີ້ຜູ້ສະໜອງ/ຊໍາລະເປັນງວດ</t>
  </si>
  <si>
    <t>ຈ່າຍຕາມຖ່ຽວ (ຈ່າຍຜ່ານບັດ ອັບບັດເທື່ອລະ15ລ້ານກີບ)</t>
  </si>
  <si>
    <t>ເບີກນໍ້າມັນຜ່ານສາງ</t>
  </si>
  <si>
    <t>ເບີກອາໄຫຼ່ຜ່ານສາງ</t>
  </si>
  <si>
    <t>ຕິດໜີ້ຜູ້ສະໜອງຈ່າຍເປັນງວດ</t>
  </si>
  <si>
    <t>ຂາຍບໍລິການຂົນສົ່ງ</t>
  </si>
  <si>
    <t>1211/402</t>
  </si>
  <si>
    <t>ຄ່າຂົນສົ່ງນອກ</t>
  </si>
  <si>
    <t>ລາຄາ:</t>
  </si>
  <si>
    <t>ມູນຄ່າ USD:</t>
  </si>
  <si>
    <t>ມູນຄ່າ THB:</t>
  </si>
  <si>
    <t>ມູນຄ່າ LAK:</t>
  </si>
  <si>
    <t>ເດິນບັນຊີ</t>
  </si>
  <si>
    <t>ລາຍການເອກະສານ</t>
  </si>
  <si>
    <t>ສະໜາມທ່າບົກ</t>
  </si>
  <si>
    <t>ຮັບຜິດຊອບ</t>
  </si>
  <si>
    <t>ຜູ້ກວດຢັ້ງຢືນ</t>
  </si>
  <si>
    <t>ບັນຊີລາຍຈ່າຍ ວຽງຈັນ</t>
  </si>
  <si>
    <t>ບັນຊີລາຍຈ່າຍວຽງຈັນ</t>
  </si>
  <si>
    <t>ໃບເກັບເງິນຄ່າຂົນສົ່ງ</t>
  </si>
  <si>
    <t>ຜູ້ຊໍາລະຄ່າໃຊ້ຈ່າຍ</t>
  </si>
  <si>
    <t>ຄັງເງິນສົດຍ່ອຍ ການເງິນທ່າບົກ</t>
  </si>
  <si>
    <t>ຄັງເງິນ ວຽງຈັນ</t>
  </si>
  <si>
    <t>ບັນຊີສາງນໍ້າມັນ ວຽງຈັນ</t>
  </si>
  <si>
    <t>ບັນຊີລາຍຮັບ ວຽງຈັນ</t>
  </si>
  <si>
    <t>ລົງຂໍ້ມູນລົດຂົນສົ່ງ</t>
  </si>
  <si>
    <t>ລົງຂໍ້ມູນ ລູກຄ້າ</t>
  </si>
  <si>
    <t>ບັນຊີລາຍຈ່າຍ/ຮັບ ວຽງຈັນ</t>
  </si>
  <si>
    <t>ລົງບັນທຶກບັນຊີ</t>
  </si>
  <si>
    <t>ຄ່ານໍ້າມັນ</t>
  </si>
  <si>
    <t>ຄ່າເດີນທາງ</t>
  </si>
  <si>
    <t>ລາຍຈ່າຍ</t>
  </si>
  <si>
    <t>ສະຖານະ</t>
  </si>
  <si>
    <t>ກຳລັງຈັດສົ່ງ</t>
  </si>
  <si>
    <t>ຂົນສົ່ງ</t>
  </si>
  <si>
    <t>ການເງິນ</t>
  </si>
  <si>
    <t>ຄ້າງຊໍາລະ</t>
  </si>
  <si>
    <t>ລາຍງານ ຕິດຕາມໃບຂົ້ນສົ່ງສິນຄ້າ</t>
  </si>
  <si>
    <t>ສະຫຼຸບການຂົນສົ່ງ</t>
  </si>
  <si>
    <t>ຮັບ-ຈ່າຍ</t>
  </si>
  <si>
    <t>ລາຍງານການຂົນສົ່ງລົດຮ່ວມ</t>
  </si>
  <si>
    <t>ລາຍງານການຂົນສົ່ງ EPL</t>
  </si>
  <si>
    <t>ລາຍງານສາງນໍ້າມັນ</t>
  </si>
  <si>
    <t>ລາຍງານສາງອາໄຫຼ່</t>
  </si>
  <si>
    <t>ລາຍງານເງິນຖ່ຽວໂຊເຟີ ແລະ ເງິນເຕີມນໍ້າ</t>
  </si>
  <si>
    <t>ລາຍງານ ຕິດຕາມຜູ້ສະໜອງ</t>
  </si>
  <si>
    <t>ໜ້າລາຍງານ</t>
  </si>
  <si>
    <t>ໂມດູນການຂົນສົ່ງ</t>
  </si>
  <si>
    <t>ໂມດູນສາງ</t>
  </si>
  <si>
    <t>ຂໍ້ມູນລົດຂົນສົ່ງ</t>
  </si>
  <si>
    <t>I</t>
  </si>
  <si>
    <t>II</t>
  </si>
  <si>
    <t>III</t>
  </si>
  <si>
    <t>IV</t>
  </si>
  <si>
    <t>V</t>
  </si>
  <si>
    <t>VI</t>
  </si>
  <si>
    <t>ຄ່າຈອດຢາງ</t>
  </si>
  <si>
    <t>ອາໄຫຼ່ເຕົ້າລົມ</t>
  </si>
  <si>
    <t>….</t>
  </si>
  <si>
    <t>.....</t>
  </si>
  <si>
    <t>ຄ່າເບີໂທ</t>
  </si>
  <si>
    <t>ຂໍ້ມູນການຂົນສົ່ງ</t>
  </si>
  <si>
    <t>ຄ່າຂົນສົ່ງ
ລົດຮ່ວມ</t>
  </si>
  <si>
    <t>ຫັກຄ່າທຳນຽມ
2%/ບິນ</t>
  </si>
  <si>
    <t>ຫັກແກ່ເກີນ
1$/ໂຕນ</t>
  </si>
  <si>
    <t>ລວມ
ລາຍຈ່າຍ</t>
  </si>
  <si>
    <t>ລາຍຈ່າຍ
ອື່ນໆ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</si>
</sst>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0"/>
    <numFmt numFmtId="165" formatCode="000\3"/>
    <numFmt numFmtId="166" formatCode="_(* #,##0_);_(* \(#,##0\);_(* &quot;-&quot;??_);_(@_)"/>
    <numFmt numFmtId="167" formatCode="_(* #,##0_);_(* \(#,##0\);_(* &quot;-&quot;_);_(@_)"/>
    <numFmt numFmtId="168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hetsarath OT"/>
    </font>
    <font>
      <b/>
      <sz val="11"/>
      <color theme="1"/>
      <name val="Phetsarath OT"/>
    </font>
    <font>
      <sz val="11"/>
      <name val="Phetsarath OT"/>
    </font>
    <font>
      <b/>
      <sz val="9"/>
      <color indexed="8"/>
      <name val="Phetsarath OT"/>
    </font>
    <font>
      <b/>
      <sz val="12"/>
      <color indexed="8"/>
      <name val="Phetsarath OT"/>
    </font>
    <font>
      <b/>
      <sz val="9"/>
      <color indexed="8"/>
      <name val="Times New Roman"/>
      <family val="1"/>
    </font>
    <font>
      <b/>
      <sz val="10"/>
      <color indexed="8"/>
      <name val="Phetsarath OT"/>
    </font>
    <font>
      <b/>
      <u/>
      <sz val="16"/>
      <color indexed="8"/>
      <name val="Phetsarath OT"/>
    </font>
    <font>
      <b/>
      <sz val="16"/>
      <color indexed="8"/>
      <name val="Phetsarath OT"/>
    </font>
    <font>
      <b/>
      <u/>
      <sz val="12"/>
      <color indexed="8"/>
      <name val="Phetsarath OT"/>
    </font>
    <font>
      <b/>
      <sz val="12"/>
      <color indexed="8"/>
      <name val="Times New Roman"/>
      <family val="1"/>
    </font>
    <font>
      <b/>
      <sz val="11"/>
      <color indexed="8"/>
      <name val="Phetsarath OT"/>
    </font>
    <font>
      <b/>
      <u/>
      <sz val="12"/>
      <color indexed="8"/>
      <name val="Times New Roman"/>
      <family val="1"/>
    </font>
    <font>
      <b/>
      <u/>
      <sz val="10"/>
      <color indexed="8"/>
      <name val="Phetsarath OT"/>
    </font>
    <font>
      <b/>
      <u/>
      <sz val="11"/>
      <color indexed="8"/>
      <name val="Phetsarath OT"/>
    </font>
    <font>
      <b/>
      <u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u val="doubleAccounting"/>
      <sz val="12"/>
      <color indexed="8"/>
      <name val="Times New Roman"/>
      <family val="1"/>
    </font>
    <font>
      <b/>
      <u val="doubleAccounting"/>
      <sz val="12"/>
      <color indexed="8"/>
      <name val="Phetsarath OT"/>
    </font>
    <font>
      <b/>
      <sz val="10"/>
      <color rgb="FF000000"/>
      <name val="Phetsarath OT"/>
    </font>
    <font>
      <sz val="12"/>
      <color indexed="8"/>
      <name val="Phetsarath OT"/>
    </font>
    <font>
      <sz val="12"/>
      <color indexed="8"/>
      <name val="Times New Roman"/>
      <family val="1"/>
    </font>
    <font>
      <b/>
      <sz val="14"/>
      <color indexed="8"/>
      <name val="Phetsarath OT"/>
    </font>
    <font>
      <sz val="16"/>
      <color indexed="8"/>
      <name val="Phetsarath OT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0" xfId="0" applyFont="1"/>
    <xf numFmtId="14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5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6" fillId="0" borderId="3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3" fillId="0" borderId="0" xfId="0" applyFont="1"/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center" indent="1"/>
    </xf>
    <xf numFmtId="0" fontId="8" fillId="0" borderId="10" xfId="0" applyFont="1" applyBorder="1" applyAlignment="1">
      <alignment horizontal="center" vertical="center"/>
    </xf>
    <xf numFmtId="166" fontId="18" fillId="0" borderId="11" xfId="1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6" fontId="18" fillId="0" borderId="1" xfId="1" applyNumberFormat="1" applyFont="1" applyBorder="1" applyAlignment="1">
      <alignment horizontal="center" vertical="center"/>
    </xf>
    <xf numFmtId="166" fontId="18" fillId="0" borderId="3" xfId="1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166" fontId="14" fillId="0" borderId="7" xfId="0" applyNumberFormat="1" applyFont="1" applyBorder="1" applyAlignment="1">
      <alignment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166" fontId="19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16" fillId="0" borderId="0" xfId="0" applyFont="1"/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6" fontId="18" fillId="0" borderId="3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166" fontId="17" fillId="0" borderId="3" xfId="0" applyNumberFormat="1" applyFont="1" applyBorder="1" applyAlignment="1">
      <alignment vertical="center"/>
    </xf>
    <xf numFmtId="0" fontId="12" fillId="0" borderId="3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/>
    </xf>
    <xf numFmtId="49" fontId="12" fillId="0" borderId="3" xfId="0" applyNumberFormat="1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22" fillId="0" borderId="0" xfId="0" applyFont="1"/>
    <xf numFmtId="0" fontId="22" fillId="0" borderId="3" xfId="0" applyFont="1" applyBorder="1"/>
    <xf numFmtId="0" fontId="23" fillId="0" borderId="3" xfId="0" applyFont="1" applyBorder="1" applyAlignment="1">
      <alignment horizontal="center" vertical="center"/>
    </xf>
    <xf numFmtId="166" fontId="23" fillId="0" borderId="3" xfId="1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43" fontId="22" fillId="0" borderId="3" xfId="1" applyFont="1" applyBorder="1" applyAlignment="1">
      <alignment horizontal="left" vertical="center"/>
    </xf>
    <xf numFmtId="43" fontId="22" fillId="0" borderId="3" xfId="1" applyFont="1" applyBorder="1" applyAlignment="1">
      <alignment horizontal="right" vertical="center"/>
    </xf>
    <xf numFmtId="43" fontId="23" fillId="0" borderId="3" xfId="1" applyFont="1" applyBorder="1" applyAlignment="1">
      <alignment horizontal="center" vertical="center"/>
    </xf>
    <xf numFmtId="43" fontId="22" fillId="0" borderId="3" xfId="1" applyFont="1" applyBorder="1" applyAlignment="1">
      <alignment horizontal="center" vertical="center"/>
    </xf>
    <xf numFmtId="43" fontId="22" fillId="0" borderId="3" xfId="1" applyFont="1" applyBorder="1"/>
    <xf numFmtId="168" fontId="22" fillId="0" borderId="3" xfId="1" applyNumberFormat="1" applyFont="1" applyBorder="1" applyAlignment="1">
      <alignment horizontal="left" vertical="center"/>
    </xf>
    <xf numFmtId="43" fontId="23" fillId="0" borderId="3" xfId="1" applyFont="1" applyBorder="1" applyAlignment="1">
      <alignment vertical="center"/>
    </xf>
    <xf numFmtId="43" fontId="12" fillId="0" borderId="3" xfId="1" applyFont="1" applyBorder="1" applyAlignment="1">
      <alignment vertical="center"/>
    </xf>
    <xf numFmtId="0" fontId="6" fillId="0" borderId="3" xfId="0" applyFont="1" applyBorder="1" applyAlignment="1">
      <alignment horizontal="right" vertical="center" indent="1"/>
    </xf>
    <xf numFmtId="43" fontId="6" fillId="0" borderId="3" xfId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22" fillId="0" borderId="3" xfId="1" applyFont="1" applyBorder="1" applyAlignment="1">
      <alignment vertical="center"/>
    </xf>
    <xf numFmtId="43" fontId="22" fillId="0" borderId="3" xfId="1" applyFont="1" applyBorder="1" applyAlignment="1">
      <alignment horizontal="left" vertical="center" indent="1"/>
    </xf>
    <xf numFmtId="0" fontId="22" fillId="0" borderId="3" xfId="0" applyFont="1" applyBorder="1" applyAlignment="1">
      <alignment horizontal="center"/>
    </xf>
    <xf numFmtId="43" fontId="6" fillId="0" borderId="3" xfId="0" applyNumberFormat="1" applyFont="1" applyBorder="1"/>
    <xf numFmtId="14" fontId="22" fillId="0" borderId="3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vertical="center"/>
    </xf>
    <xf numFmtId="14" fontId="22" fillId="0" borderId="3" xfId="0" applyNumberFormat="1" applyFont="1" applyBorder="1" applyAlignment="1">
      <alignment horizontal="left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3" fillId="0" borderId="0" xfId="0" applyFont="1" applyAlignment="1">
      <alignment horizontal="center"/>
    </xf>
    <xf numFmtId="43" fontId="2" fillId="0" borderId="3" xfId="1" applyFont="1" applyFill="1" applyBorder="1"/>
    <xf numFmtId="43" fontId="4" fillId="0" borderId="3" xfId="1" applyFont="1" applyFill="1" applyBorder="1" applyAlignment="1">
      <alignment horizontal="center"/>
    </xf>
    <xf numFmtId="43" fontId="2" fillId="0" borderId="3" xfId="0" applyNumberFormat="1" applyFont="1" applyBorder="1"/>
    <xf numFmtId="0" fontId="3" fillId="0" borderId="3" xfId="0" applyFont="1" applyBorder="1" applyAlignment="1">
      <alignment horizontal="center"/>
    </xf>
    <xf numFmtId="0" fontId="10" fillId="0" borderId="3" xfId="0" applyFont="1" applyBorder="1"/>
    <xf numFmtId="0" fontId="22" fillId="0" borderId="3" xfId="0" applyFont="1" applyBorder="1" applyAlignment="1">
      <alignment horizontal="center" vertical="center"/>
    </xf>
    <xf numFmtId="166" fontId="23" fillId="0" borderId="3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right"/>
    </xf>
    <xf numFmtId="0" fontId="24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horizontal="right" vertical="center" indent="1"/>
    </xf>
    <xf numFmtId="0" fontId="13" fillId="0" borderId="7" xfId="0" applyFont="1" applyBorder="1" applyAlignment="1">
      <alignment horizontal="right" vertical="center" indent="1"/>
    </xf>
    <xf numFmtId="0" fontId="13" fillId="0" borderId="5" xfId="0" applyFont="1" applyBorder="1" applyAlignment="1">
      <alignment horizontal="right" vertical="center" indent="1"/>
    </xf>
    <xf numFmtId="166" fontId="18" fillId="0" borderId="4" xfId="1" applyNumberFormat="1" applyFont="1" applyBorder="1" applyAlignment="1">
      <alignment horizontal="center" vertical="center"/>
    </xf>
    <xf numFmtId="166" fontId="18" fillId="0" borderId="5" xfId="1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166" fontId="17" fillId="0" borderId="4" xfId="0" applyNumberFormat="1" applyFont="1" applyBorder="1" applyAlignment="1">
      <alignment horizontal="center" vertical="center"/>
    </xf>
    <xf numFmtId="166" fontId="17" fillId="0" borderId="5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166" fontId="19" fillId="0" borderId="4" xfId="0" applyNumberFormat="1" applyFont="1" applyBorder="1" applyAlignment="1">
      <alignment horizontal="center" vertical="center"/>
    </xf>
    <xf numFmtId="166" fontId="19" fillId="0" borderId="7" xfId="0" applyNumberFormat="1" applyFont="1" applyBorder="1" applyAlignment="1">
      <alignment horizontal="center" vertical="center"/>
    </xf>
    <xf numFmtId="166" fontId="19" fillId="0" borderId="5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7" fontId="18" fillId="0" borderId="4" xfId="1" applyNumberFormat="1" applyFont="1" applyBorder="1" applyAlignment="1">
      <alignment horizontal="center" vertical="center"/>
    </xf>
    <xf numFmtId="167" fontId="18" fillId="0" borderId="5" xfId="1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center"/>
    </xf>
    <xf numFmtId="0" fontId="16" fillId="0" borderId="4" xfId="0" applyFont="1" applyBorder="1" applyAlignment="1">
      <alignment horizontal="left" vertical="center" indent="2"/>
    </xf>
    <xf numFmtId="0" fontId="16" fillId="0" borderId="7" xfId="0" applyFont="1" applyBorder="1" applyAlignment="1">
      <alignment horizontal="left" vertical="center" indent="2"/>
    </xf>
    <xf numFmtId="0" fontId="16" fillId="0" borderId="5" xfId="0" applyFont="1" applyBorder="1" applyAlignment="1">
      <alignment horizontal="left" vertical="center" indent="2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 indent="2"/>
    </xf>
    <xf numFmtId="0" fontId="16" fillId="0" borderId="6" xfId="0" applyFont="1" applyBorder="1" applyAlignment="1">
      <alignment horizontal="left" vertical="center" indent="2"/>
    </xf>
    <xf numFmtId="0" fontId="16" fillId="0" borderId="9" xfId="0" applyFont="1" applyBorder="1" applyAlignment="1">
      <alignment horizontal="left" vertical="center" indent="2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67" fontId="18" fillId="0" borderId="12" xfId="1" applyNumberFormat="1" applyFont="1" applyBorder="1" applyAlignment="1">
      <alignment horizontal="center" vertical="center"/>
    </xf>
    <xf numFmtId="166" fontId="18" fillId="0" borderId="12" xfId="1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49" fontId="17" fillId="0" borderId="3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241932</xdr:colOff>
      <xdr:row>0</xdr:row>
      <xdr:rowOff>139067</xdr:rowOff>
    </xdr:from>
    <xdr:to>
      <xdr:col>1</xdr:col>
      <xdr:colOff>556260</xdr:colOff>
      <xdr:row>3</xdr:row>
      <xdr:rowOff>182880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86A762-8DB7-43E1-8C5D-0020C3F8D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2" y="139067"/>
          <a:ext cx="725808" cy="752473"/>
        </a:xfrm>
        <a:prstGeom prst="rect">
          <a:avLst/>
        </a:prstGeom>
      </xdr:spPr>
    </xdr:pic>
    <xdr:clientData/>
  </xdr:twoCellAnchor>
  <xdr:twoCellAnchor>
    <xdr:from>
      <xdr:col>5</xdr:col>
      <xdr:colOff>1082040</xdr:colOff>
      <xdr:row>1</xdr:row>
      <xdr:rowOff>211184</xdr:rowOff>
    </xdr:from>
    <xdr:to>
      <xdr:col>8</xdr:col>
      <xdr:colOff>3809</xdr:colOff>
      <xdr:row>3</xdr:row>
      <xdr:rowOff>285750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413BDF-5E20-4177-9457-CE11F41760BA}"/>
            </a:ext>
          </a:extLst>
        </xdr:cNvPr>
        <xdr:cNvSpPr txBox="1"/>
      </xdr:nvSpPr>
      <xdr:spPr>
        <a:xfrm>
          <a:off x="4876800" y="447404"/>
          <a:ext cx="1680209" cy="5470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o-LA" sz="1100" b="1">
              <a:latin typeface="Phetsarath OT" panose="02000500000000000000" pitchFamily="2" charset="0"/>
              <a:cs typeface="Phetsarath OT" panose="02000500000000000000" pitchFamily="2" charset="0"/>
            </a:rPr>
            <a:t>ເລກທີ່: </a:t>
          </a:r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T4 - 0428-08/EPL</a:t>
          </a:r>
        </a:p>
        <a:p>
          <a:r>
            <a:rPr lang="en-US" sz="1100" b="1">
              <a:latin typeface="Phetsarath OT" panose="02000500000000000000" pitchFamily="2" charset="0"/>
              <a:cs typeface="Phetsarath OT" panose="02000500000000000000" pitchFamily="2" charset="0"/>
            </a:rPr>
            <a:t>   </a:t>
          </a:r>
          <a:r>
            <a:rPr lang="lo-LA" sz="1100" b="1">
              <a:latin typeface="Phetsarath OT" panose="02000500000000000000" pitchFamily="2" charset="0"/>
              <a:cs typeface="Phetsarath OT" panose="02000500000000000000" pitchFamily="2" charset="0"/>
            </a:rPr>
            <a:t>ວັນທີ: </a:t>
          </a:r>
          <a:r>
            <a:rPr lang="en-US" sz="1100" b="1">
              <a:latin typeface="Times New Roman" panose="02020603050405020304" pitchFamily="18" charset="0"/>
              <a:cs typeface="Phetsarath OT" panose="02000500000000000000" pitchFamily="2" charset="0"/>
            </a:rPr>
            <a:t>19</a:t>
          </a:r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/08/202</a:t>
          </a:r>
          <a:r>
            <a:rPr lang="en-US" sz="1100" b="1">
              <a:latin typeface="Times New Roman" panose="02020603050405020304" pitchFamily="18" charset="0"/>
              <a:cs typeface="Phetsarath OT" panose="02000500000000000000" pitchFamily="2" charset="0"/>
            </a:rPr>
            <a:t>6</a:t>
          </a:r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34627</xdr:colOff>
      <xdr:row>0</xdr:row>
      <xdr:rowOff>16933</xdr:rowOff>
    </xdr:from>
    <xdr:to>
      <xdr:col>1</xdr:col>
      <xdr:colOff>939800</xdr:colOff>
      <xdr:row>3</xdr:row>
      <xdr:rowOff>262466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11CC5-75CD-4A5C-831D-81FA9F021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960" y="16933"/>
          <a:ext cx="905173" cy="956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77FB-04EE-4C7F-8675-2F2AD1964EC5}">
  <dimension ref="A3:C9"/>
  <sheetViews>
    <sheetView workbookViewId="0">
      <selection activeCell="C21" sqref="C21"/>
    </sheetView>
  </sheetViews>
  <sheetFormatPr defaultRowHeight="15.6" x14ac:dyDescent="0.4"/>
  <cols>
    <col min="1" max="1" width="5.44140625" style="1" customWidth="1"/>
    <col min="2" max="2" width="29.5546875" style="1" bestFit="1" customWidth="1"/>
    <col min="3" max="3" width="19.5546875" style="1" customWidth="1"/>
    <col min="4" max="16384" width="8.88671875" style="1"/>
  </cols>
  <sheetData>
    <row r="3" spans="1:3" s="97" customFormat="1" x14ac:dyDescent="0.4">
      <c r="A3" s="101" t="s">
        <v>50</v>
      </c>
      <c r="B3" s="101" t="s">
        <v>83</v>
      </c>
      <c r="C3" s="101" t="s">
        <v>164</v>
      </c>
    </row>
    <row r="4" spans="1:3" x14ac:dyDescent="0.4">
      <c r="A4" s="5">
        <v>1</v>
      </c>
      <c r="B4" s="4" t="s">
        <v>159</v>
      </c>
      <c r="C4" s="4" t="s">
        <v>165</v>
      </c>
    </row>
    <row r="5" spans="1:3" x14ac:dyDescent="0.4">
      <c r="A5" s="5">
        <v>2</v>
      </c>
      <c r="B5" s="4" t="s">
        <v>158</v>
      </c>
      <c r="C5" s="4" t="s">
        <v>165</v>
      </c>
    </row>
    <row r="6" spans="1:3" x14ac:dyDescent="0.4">
      <c r="A6" s="5">
        <v>3</v>
      </c>
      <c r="B6" s="4" t="s">
        <v>160</v>
      </c>
      <c r="C6" s="4" t="s">
        <v>166</v>
      </c>
    </row>
    <row r="7" spans="1:3" x14ac:dyDescent="0.4">
      <c r="A7" s="5">
        <v>4</v>
      </c>
      <c r="B7" s="4" t="s">
        <v>161</v>
      </c>
      <c r="C7" s="4" t="s">
        <v>166</v>
      </c>
    </row>
    <row r="8" spans="1:3" x14ac:dyDescent="0.4">
      <c r="A8" s="5">
        <v>5</v>
      </c>
      <c r="B8" s="4" t="s">
        <v>162</v>
      </c>
      <c r="C8" s="4" t="s">
        <v>165</v>
      </c>
    </row>
    <row r="9" spans="1:3" x14ac:dyDescent="0.4">
      <c r="A9" s="5">
        <v>6</v>
      </c>
      <c r="B9" s="4" t="s">
        <v>163</v>
      </c>
      <c r="C9" s="4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D0A2-8929-4A59-9DF5-D36CFD0F8D2E}">
  <dimension ref="A2:AC14"/>
  <sheetViews>
    <sheetView zoomScale="70" zoomScaleNormal="70" workbookViewId="0">
      <pane xSplit="5" ySplit="5" topLeftCell="F6" activePane="bottomRight" state="frozen"/>
      <selection pane="topRight" activeCell="F1" sqref="F1"/>
      <selection pane="bottomLeft" activeCell="A5" sqref="A5"/>
      <selection pane="bottomRight" activeCell="X24" sqref="X24"/>
    </sheetView>
  </sheetViews>
  <sheetFormatPr defaultRowHeight="15.6" x14ac:dyDescent="0.4"/>
  <cols>
    <col min="1" max="1" width="4.33203125" style="1" bestFit="1" customWidth="1"/>
    <col min="2" max="2" width="11.21875" style="1" bestFit="1" customWidth="1"/>
    <col min="3" max="3" width="16.44140625" style="1" bestFit="1" customWidth="1"/>
    <col min="4" max="4" width="11.33203125" style="1" bestFit="1" customWidth="1"/>
    <col min="5" max="5" width="6.5546875" style="1" customWidth="1"/>
    <col min="6" max="6" width="10.109375" style="1" bestFit="1" customWidth="1"/>
    <col min="7" max="7" width="10" style="1" bestFit="1" customWidth="1"/>
    <col min="8" max="8" width="6.5546875" style="1" bestFit="1" customWidth="1"/>
    <col min="9" max="9" width="16" style="1" bestFit="1" customWidth="1"/>
    <col min="10" max="11" width="8.5546875" style="1" bestFit="1" customWidth="1"/>
    <col min="12" max="12" width="8.33203125" style="1" bestFit="1" customWidth="1"/>
    <col min="13" max="13" width="7.21875" style="1" bestFit="1" customWidth="1"/>
    <col min="14" max="14" width="8.21875" style="1" bestFit="1" customWidth="1"/>
    <col min="15" max="15" width="6.88671875" style="1" bestFit="1" customWidth="1"/>
    <col min="16" max="16" width="5.6640625" style="1" bestFit="1" customWidth="1"/>
    <col min="17" max="18" width="8.6640625" style="1" customWidth="1"/>
    <col min="19" max="19" width="7.44140625" style="1" bestFit="1" customWidth="1"/>
    <col min="20" max="20" width="10.44140625" style="1" bestFit="1" customWidth="1"/>
    <col min="21" max="21" width="11.44140625" style="1" customWidth="1"/>
    <col min="22" max="22" width="13" style="1" customWidth="1"/>
    <col min="23" max="25" width="11.44140625" style="1" customWidth="1"/>
    <col min="26" max="26" width="10.21875" style="1" customWidth="1"/>
    <col min="27" max="27" width="11.44140625" style="1" customWidth="1"/>
    <col min="28" max="28" width="10" style="1" bestFit="1" customWidth="1"/>
    <col min="29" max="16384" width="8.88671875" style="1"/>
  </cols>
  <sheetData>
    <row r="2" spans="1:29" x14ac:dyDescent="0.4">
      <c r="B2" s="1" t="s">
        <v>155</v>
      </c>
    </row>
    <row r="3" spans="1:29" x14ac:dyDescent="0.4">
      <c r="A3" s="115" t="s">
        <v>49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6" t="s">
        <v>149</v>
      </c>
      <c r="V3" s="176"/>
      <c r="W3" s="176"/>
      <c r="X3" s="176"/>
      <c r="Y3" s="176"/>
      <c r="Z3" s="176"/>
      <c r="AA3" s="117"/>
      <c r="AB3" s="114" t="s">
        <v>150</v>
      </c>
      <c r="AC3" s="114"/>
    </row>
    <row r="4" spans="1:29" s="179" customFormat="1" x14ac:dyDescent="0.3">
      <c r="A4" s="114" t="s">
        <v>50</v>
      </c>
      <c r="B4" s="114" t="s">
        <v>74</v>
      </c>
      <c r="C4" s="114"/>
      <c r="D4" s="114" t="s">
        <v>60</v>
      </c>
      <c r="E4" s="114"/>
      <c r="F4" s="114" t="s">
        <v>59</v>
      </c>
      <c r="G4" s="114"/>
      <c r="H4" s="120" t="s">
        <v>62</v>
      </c>
      <c r="I4" s="118" t="s">
        <v>61</v>
      </c>
      <c r="J4" s="114" t="s">
        <v>73</v>
      </c>
      <c r="K4" s="114"/>
      <c r="L4" s="114"/>
      <c r="M4" s="114" t="s">
        <v>52</v>
      </c>
      <c r="N4" s="120" t="s">
        <v>64</v>
      </c>
      <c r="O4" s="120" t="s">
        <v>65</v>
      </c>
      <c r="P4" s="120" t="s">
        <v>63</v>
      </c>
      <c r="Q4" s="177" t="s">
        <v>71</v>
      </c>
      <c r="R4" s="178"/>
      <c r="S4" s="3" t="s">
        <v>54</v>
      </c>
      <c r="T4" s="3" t="s">
        <v>55</v>
      </c>
      <c r="U4" s="118" t="s">
        <v>180</v>
      </c>
      <c r="V4" s="118" t="s">
        <v>181</v>
      </c>
      <c r="W4" s="118" t="s">
        <v>182</v>
      </c>
      <c r="X4" s="180" t="s">
        <v>147</v>
      </c>
      <c r="Y4" s="180" t="s">
        <v>148</v>
      </c>
      <c r="Z4" s="118" t="s">
        <v>184</v>
      </c>
      <c r="AA4" s="118" t="s">
        <v>183</v>
      </c>
      <c r="AB4" s="180" t="s">
        <v>152</v>
      </c>
      <c r="AC4" s="180" t="s">
        <v>153</v>
      </c>
    </row>
    <row r="5" spans="1:29" s="179" customFormat="1" ht="18" customHeight="1" x14ac:dyDescent="0.3">
      <c r="A5" s="114"/>
      <c r="B5" s="3" t="s">
        <v>51</v>
      </c>
      <c r="C5" s="3" t="s">
        <v>53</v>
      </c>
      <c r="D5" s="3" t="s">
        <v>51</v>
      </c>
      <c r="E5" s="3" t="s">
        <v>53</v>
      </c>
      <c r="F5" s="3" t="s">
        <v>28</v>
      </c>
      <c r="G5" s="3" t="s">
        <v>32</v>
      </c>
      <c r="H5" s="114"/>
      <c r="I5" s="119"/>
      <c r="J5" s="3" t="s">
        <v>57</v>
      </c>
      <c r="K5" s="3" t="s">
        <v>58</v>
      </c>
      <c r="L5" s="3" t="s">
        <v>56</v>
      </c>
      <c r="M5" s="114"/>
      <c r="N5" s="114"/>
      <c r="O5" s="114"/>
      <c r="P5" s="114"/>
      <c r="Q5" s="3" t="s">
        <v>28</v>
      </c>
      <c r="R5" s="3" t="s">
        <v>32</v>
      </c>
      <c r="S5" s="3" t="s">
        <v>72</v>
      </c>
      <c r="T5" s="3" t="s">
        <v>72</v>
      </c>
      <c r="U5" s="119"/>
      <c r="V5" s="119"/>
      <c r="W5" s="119"/>
      <c r="X5" s="181"/>
      <c r="Y5" s="181"/>
      <c r="Z5" s="181"/>
      <c r="AA5" s="119"/>
      <c r="AB5" s="181"/>
      <c r="AC5" s="181"/>
    </row>
    <row r="6" spans="1:29" x14ac:dyDescent="0.4">
      <c r="A6" s="4">
        <v>1</v>
      </c>
      <c r="B6" s="7">
        <v>46253</v>
      </c>
      <c r="C6" s="8" t="s">
        <v>97</v>
      </c>
      <c r="D6" s="7">
        <v>46253</v>
      </c>
      <c r="E6" s="4"/>
      <c r="F6" s="9" t="s">
        <v>66</v>
      </c>
      <c r="G6" s="9" t="s">
        <v>67</v>
      </c>
      <c r="H6" s="11" t="s">
        <v>12</v>
      </c>
      <c r="I6" s="10" t="s">
        <v>31</v>
      </c>
      <c r="J6" s="8" t="s">
        <v>75</v>
      </c>
      <c r="K6" s="8" t="s">
        <v>76</v>
      </c>
      <c r="L6" s="9">
        <v>341</v>
      </c>
      <c r="M6" s="5" t="s">
        <v>68</v>
      </c>
      <c r="N6" s="5" t="s">
        <v>69</v>
      </c>
      <c r="O6" s="5">
        <v>1</v>
      </c>
      <c r="P6" s="5" t="s">
        <v>70</v>
      </c>
      <c r="Q6" s="5"/>
      <c r="R6" s="99">
        <v>42.06</v>
      </c>
      <c r="S6" s="99">
        <v>41</v>
      </c>
      <c r="T6" s="98">
        <f>+R6*S6</f>
        <v>1724.46</v>
      </c>
      <c r="U6" s="4"/>
      <c r="V6" s="98"/>
      <c r="W6" s="98"/>
      <c r="X6" s="4"/>
      <c r="Y6" s="4"/>
      <c r="Z6" s="4"/>
      <c r="AA6" s="100">
        <f>SUM(V6:Z6)</f>
        <v>0</v>
      </c>
      <c r="AB6" s="5" t="s">
        <v>151</v>
      </c>
      <c r="AC6" s="5" t="s">
        <v>154</v>
      </c>
    </row>
    <row r="7" spans="1:29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5"/>
    </row>
    <row r="10" spans="1:29" x14ac:dyDescent="0.4">
      <c r="B10" s="1" t="s">
        <v>156</v>
      </c>
    </row>
    <row r="12" spans="1:29" s="2" customFormat="1" x14ac:dyDescent="0.4">
      <c r="A12" s="3" t="s">
        <v>50</v>
      </c>
      <c r="B12" s="5" t="s">
        <v>49</v>
      </c>
      <c r="C12" s="5" t="s">
        <v>149</v>
      </c>
      <c r="D12" s="5" t="s">
        <v>157</v>
      </c>
    </row>
    <row r="13" spans="1:29" x14ac:dyDescent="0.4">
      <c r="A13" s="4">
        <v>1</v>
      </c>
      <c r="B13" s="100">
        <f>+T6</f>
        <v>1724.46</v>
      </c>
      <c r="C13" s="100">
        <f>+AA6</f>
        <v>0</v>
      </c>
      <c r="D13" s="100">
        <f>+B13-C13</f>
        <v>1724.46</v>
      </c>
    </row>
    <row r="14" spans="1:29" x14ac:dyDescent="0.4">
      <c r="A14" s="4"/>
      <c r="B14" s="4"/>
      <c r="C14" s="4"/>
      <c r="D14" s="4"/>
    </row>
  </sheetData>
  <mergeCells count="24">
    <mergeCell ref="Z4:Z5"/>
    <mergeCell ref="AA4:AA5"/>
    <mergeCell ref="AB4:AB5"/>
    <mergeCell ref="AC4:AC5"/>
    <mergeCell ref="U4:U5"/>
    <mergeCell ref="V4:V5"/>
    <mergeCell ref="W4:W5"/>
    <mergeCell ref="X4:X5"/>
    <mergeCell ref="Y4:Y5"/>
    <mergeCell ref="AB3:AC3"/>
    <mergeCell ref="A3:T3"/>
    <mergeCell ref="F4:G4"/>
    <mergeCell ref="Q4:R4"/>
    <mergeCell ref="I4:I5"/>
    <mergeCell ref="A4:A5"/>
    <mergeCell ref="M4:M5"/>
    <mergeCell ref="N4:N5"/>
    <mergeCell ref="O4:O5"/>
    <mergeCell ref="P4:P5"/>
    <mergeCell ref="J4:L4"/>
    <mergeCell ref="B4:C4"/>
    <mergeCell ref="D4:E4"/>
    <mergeCell ref="H4:H5"/>
    <mergeCell ref="U3:AA3"/>
  </mergeCells>
  <conditionalFormatting sqref="C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B09A-75A7-4F75-AA87-2FAC9DD1D285}">
  <dimension ref="A1:P30"/>
  <sheetViews>
    <sheetView workbookViewId="0">
      <selection activeCell="B24" sqref="B24:D24"/>
    </sheetView>
  </sheetViews>
  <sheetFormatPr defaultColWidth="9.109375" defaultRowHeight="18.600000000000001" x14ac:dyDescent="0.5"/>
  <cols>
    <col min="1" max="1" width="6" style="13" customWidth="1"/>
    <col min="2" max="2" width="11.88671875" style="13" customWidth="1"/>
    <col min="3" max="5" width="9.33203125" style="13" customWidth="1"/>
    <col min="6" max="6" width="18.5546875" style="13" bestFit="1" customWidth="1"/>
    <col min="7" max="7" width="15.44140625" style="13" customWidth="1"/>
    <col min="8" max="8" width="5.44140625" style="13" customWidth="1"/>
    <col min="9" max="16384" width="9.109375" style="13"/>
  </cols>
  <sheetData>
    <row r="1" spans="1:13" x14ac:dyDescent="0.5">
      <c r="A1" s="110"/>
      <c r="B1" s="110"/>
      <c r="C1" s="110"/>
      <c r="D1" s="110"/>
      <c r="E1" s="110"/>
      <c r="F1" s="110"/>
      <c r="G1" s="110"/>
      <c r="H1" s="110"/>
    </row>
    <row r="2" spans="1:13" x14ac:dyDescent="0.5">
      <c r="A2" s="111" t="s">
        <v>8</v>
      </c>
      <c r="B2" s="111"/>
      <c r="C2" s="111"/>
      <c r="D2" s="111"/>
      <c r="E2" s="111"/>
      <c r="F2" s="111"/>
      <c r="G2" s="111"/>
      <c r="H2" s="111"/>
    </row>
    <row r="3" spans="1:13" x14ac:dyDescent="0.5">
      <c r="A3" s="112" t="s">
        <v>9</v>
      </c>
      <c r="B3" s="112"/>
      <c r="C3" s="112"/>
      <c r="D3" s="112"/>
      <c r="E3" s="112"/>
      <c r="F3" s="112"/>
      <c r="G3" s="112"/>
      <c r="H3" s="112"/>
    </row>
    <row r="4" spans="1:13" s="16" customFormat="1" ht="24.6" x14ac:dyDescent="0.65">
      <c r="A4" s="173" t="s">
        <v>10</v>
      </c>
      <c r="B4" s="173"/>
      <c r="C4" s="173"/>
      <c r="D4" s="173"/>
      <c r="E4" s="173"/>
      <c r="F4" s="173"/>
      <c r="G4" s="173"/>
      <c r="H4" s="173"/>
    </row>
    <row r="5" spans="1:13" s="16" customFormat="1" ht="20.399999999999999" customHeight="1" x14ac:dyDescent="0.65">
      <c r="A5" s="17" t="s">
        <v>11</v>
      </c>
      <c r="B5" s="18"/>
      <c r="C5" s="174" t="s">
        <v>12</v>
      </c>
      <c r="D5" s="174"/>
      <c r="E5" s="174"/>
      <c r="F5" s="19" t="s">
        <v>13</v>
      </c>
      <c r="G5" s="175" t="s">
        <v>14</v>
      </c>
      <c r="H5" s="175"/>
    </row>
    <row r="6" spans="1:13" s="16" customFormat="1" ht="20.399999999999999" customHeight="1" x14ac:dyDescent="0.65">
      <c r="A6" s="167" t="s">
        <v>15</v>
      </c>
      <c r="B6" s="168"/>
      <c r="C6" s="169" t="s">
        <v>16</v>
      </c>
      <c r="D6" s="170"/>
      <c r="E6" s="171"/>
      <c r="F6" s="20" t="s">
        <v>17</v>
      </c>
      <c r="G6" s="164"/>
      <c r="H6" s="165"/>
    </row>
    <row r="7" spans="1:13" s="21" customFormat="1" ht="20.399999999999999" customHeight="1" x14ac:dyDescent="0.4">
      <c r="A7" s="123" t="s">
        <v>18</v>
      </c>
      <c r="B7" s="124"/>
      <c r="C7" s="172" t="s">
        <v>19</v>
      </c>
      <c r="D7" s="172"/>
      <c r="E7" s="172"/>
      <c r="F7" s="20" t="s">
        <v>20</v>
      </c>
      <c r="G7" s="44">
        <v>41.3</v>
      </c>
      <c r="H7" s="46" t="s">
        <v>70</v>
      </c>
    </row>
    <row r="8" spans="1:13" s="21" customFormat="1" ht="20.399999999999999" customHeight="1" x14ac:dyDescent="0.65">
      <c r="A8" s="22" t="s">
        <v>21</v>
      </c>
      <c r="B8" s="22"/>
      <c r="C8" s="163" t="s">
        <v>22</v>
      </c>
      <c r="D8" s="163"/>
      <c r="E8" s="163"/>
      <c r="F8" s="47" t="s">
        <v>77</v>
      </c>
      <c r="G8" s="45">
        <v>41</v>
      </c>
      <c r="H8" s="46" t="s">
        <v>72</v>
      </c>
      <c r="M8" s="16"/>
    </row>
    <row r="9" spans="1:13" s="21" customFormat="1" ht="20.399999999999999" customHeight="1" x14ac:dyDescent="0.4">
      <c r="A9" s="22" t="s">
        <v>25</v>
      </c>
      <c r="B9" s="22"/>
      <c r="C9" s="163" t="s">
        <v>26</v>
      </c>
      <c r="D9" s="163"/>
      <c r="E9" s="163"/>
      <c r="F9" s="47" t="s">
        <v>78</v>
      </c>
      <c r="G9" s="45">
        <f>+G7*G8</f>
        <v>1693.3</v>
      </c>
      <c r="H9" s="46" t="s">
        <v>72</v>
      </c>
    </row>
    <row r="10" spans="1:13" s="21" customFormat="1" ht="20.399999999999999" customHeight="1" x14ac:dyDescent="0.4">
      <c r="A10" s="22" t="s">
        <v>27</v>
      </c>
      <c r="B10" s="22"/>
      <c r="C10" s="51">
        <v>7891</v>
      </c>
      <c r="D10" s="52">
        <v>6921</v>
      </c>
      <c r="E10" s="53">
        <f>SUM(C10-D10)</f>
        <v>970</v>
      </c>
      <c r="F10" s="23" t="s">
        <v>23</v>
      </c>
      <c r="G10" s="164" t="s">
        <v>24</v>
      </c>
      <c r="H10" s="165"/>
    </row>
    <row r="11" spans="1:13" s="21" customFormat="1" ht="20.399999999999999" customHeight="1" x14ac:dyDescent="0.4">
      <c r="A11" s="123" t="s">
        <v>30</v>
      </c>
      <c r="B11" s="124"/>
      <c r="C11" s="166" t="s">
        <v>31</v>
      </c>
      <c r="D11" s="166"/>
      <c r="E11" s="166"/>
      <c r="F11" s="23" t="s">
        <v>28</v>
      </c>
      <c r="G11" s="123" t="s">
        <v>29</v>
      </c>
      <c r="H11" s="124"/>
    </row>
    <row r="12" spans="1:13" s="21" customFormat="1" ht="20.399999999999999" customHeight="1" x14ac:dyDescent="0.4">
      <c r="A12" s="48"/>
      <c r="B12" s="49"/>
      <c r="C12" s="49"/>
      <c r="D12" s="49"/>
      <c r="E12" s="50"/>
      <c r="F12" s="23" t="s">
        <v>32</v>
      </c>
      <c r="G12" s="123" t="s">
        <v>33</v>
      </c>
      <c r="H12" s="124"/>
    </row>
    <row r="13" spans="1:13" s="21" customFormat="1" ht="20.399999999999999" customHeight="1" x14ac:dyDescent="0.4">
      <c r="A13" s="156" t="s">
        <v>34</v>
      </c>
      <c r="B13" s="157"/>
      <c r="C13" s="157"/>
      <c r="D13" s="158"/>
      <c r="E13" s="43" t="s">
        <v>35</v>
      </c>
      <c r="F13" s="43" t="s">
        <v>36</v>
      </c>
      <c r="G13" s="159" t="s">
        <v>37</v>
      </c>
      <c r="H13" s="160"/>
    </row>
    <row r="14" spans="1:13" ht="20.399999999999999" customHeight="1" x14ac:dyDescent="0.5">
      <c r="A14" s="24"/>
      <c r="B14" s="144" t="s">
        <v>7</v>
      </c>
      <c r="C14" s="145"/>
      <c r="D14" s="146"/>
      <c r="E14" s="25">
        <v>695</v>
      </c>
      <c r="F14" s="25">
        <v>27770</v>
      </c>
      <c r="G14" s="147">
        <f>F14*E14</f>
        <v>19300150</v>
      </c>
      <c r="H14" s="161"/>
    </row>
    <row r="15" spans="1:13" ht="20.399999999999999" customHeight="1" x14ac:dyDescent="0.5">
      <c r="A15" s="26">
        <v>2</v>
      </c>
      <c r="B15" s="144" t="s">
        <v>7</v>
      </c>
      <c r="C15" s="145"/>
      <c r="D15" s="146"/>
      <c r="E15" s="27">
        <v>0</v>
      </c>
      <c r="F15" s="25">
        <v>0</v>
      </c>
      <c r="G15" s="128">
        <f>F15*E15</f>
        <v>0</v>
      </c>
      <c r="H15" s="162"/>
    </row>
    <row r="16" spans="1:13" ht="20.399999999999999" customHeight="1" x14ac:dyDescent="0.5">
      <c r="A16" s="144" t="s">
        <v>37</v>
      </c>
      <c r="B16" s="145"/>
      <c r="C16" s="145"/>
      <c r="D16" s="146"/>
      <c r="E16" s="28">
        <f>SUM(E14:E15)</f>
        <v>695</v>
      </c>
      <c r="F16" s="28"/>
      <c r="G16" s="147">
        <f>SUM(G14:H15)</f>
        <v>19300150</v>
      </c>
      <c r="H16" s="148"/>
    </row>
    <row r="17" spans="1:16" ht="31.8" customHeight="1" x14ac:dyDescent="0.5">
      <c r="A17" s="131" t="s">
        <v>38</v>
      </c>
      <c r="B17" s="131"/>
      <c r="C17" s="149" t="s">
        <v>39</v>
      </c>
      <c r="D17" s="149"/>
      <c r="E17" s="29"/>
      <c r="F17" s="30" t="s">
        <v>40</v>
      </c>
      <c r="G17" s="150" t="s">
        <v>41</v>
      </c>
      <c r="H17" s="150"/>
    </row>
    <row r="18" spans="1:16" s="21" customFormat="1" ht="18" customHeight="1" x14ac:dyDescent="0.4">
      <c r="A18" s="151" t="s">
        <v>42</v>
      </c>
      <c r="B18" s="152"/>
      <c r="C18" s="152"/>
      <c r="D18" s="153"/>
      <c r="E18" s="31" t="s">
        <v>35</v>
      </c>
      <c r="F18" s="31" t="s">
        <v>43</v>
      </c>
      <c r="G18" s="154" t="s">
        <v>37</v>
      </c>
      <c r="H18" s="155"/>
    </row>
    <row r="19" spans="1:16" s="56" customFormat="1" ht="18" customHeight="1" x14ac:dyDescent="0.4">
      <c r="A19" s="54">
        <v>1</v>
      </c>
      <c r="B19" s="125" t="s">
        <v>0</v>
      </c>
      <c r="C19" s="126"/>
      <c r="D19" s="127"/>
      <c r="E19" s="54">
        <v>1</v>
      </c>
      <c r="F19" s="55">
        <v>60000</v>
      </c>
      <c r="G19" s="128">
        <f t="shared" ref="G19:G25" si="0">E19*F19</f>
        <v>60000</v>
      </c>
      <c r="H19" s="129"/>
      <c r="P19" s="21"/>
    </row>
    <row r="20" spans="1:16" s="56" customFormat="1" ht="18" customHeight="1" x14ac:dyDescent="0.3">
      <c r="A20" s="54">
        <v>2</v>
      </c>
      <c r="B20" s="125" t="s">
        <v>1</v>
      </c>
      <c r="C20" s="126"/>
      <c r="D20" s="127"/>
      <c r="E20" s="54">
        <v>1</v>
      </c>
      <c r="F20" s="55">
        <v>430000</v>
      </c>
      <c r="G20" s="128">
        <f t="shared" si="0"/>
        <v>430000</v>
      </c>
      <c r="H20" s="129"/>
    </row>
    <row r="21" spans="1:16" s="56" customFormat="1" ht="18" customHeight="1" x14ac:dyDescent="0.3">
      <c r="A21" s="54">
        <v>3</v>
      </c>
      <c r="B21" s="125" t="s">
        <v>2</v>
      </c>
      <c r="C21" s="126"/>
      <c r="D21" s="127"/>
      <c r="E21" s="54">
        <v>1</v>
      </c>
      <c r="F21" s="55">
        <v>620000</v>
      </c>
      <c r="G21" s="128">
        <f t="shared" si="0"/>
        <v>620000</v>
      </c>
      <c r="H21" s="129"/>
    </row>
    <row r="22" spans="1:16" s="56" customFormat="1" ht="18" customHeight="1" x14ac:dyDescent="0.3">
      <c r="A22" s="54">
        <v>4</v>
      </c>
      <c r="B22" s="125" t="s">
        <v>79</v>
      </c>
      <c r="C22" s="126"/>
      <c r="D22" s="127"/>
      <c r="E22" s="54">
        <v>1</v>
      </c>
      <c r="F22" s="55">
        <v>1500000</v>
      </c>
      <c r="G22" s="128">
        <f t="shared" si="0"/>
        <v>1500000</v>
      </c>
      <c r="H22" s="129"/>
    </row>
    <row r="23" spans="1:16" s="56" customFormat="1" ht="18" customHeight="1" x14ac:dyDescent="0.3">
      <c r="A23" s="54">
        <v>5</v>
      </c>
      <c r="B23" s="125" t="s">
        <v>4</v>
      </c>
      <c r="C23" s="126"/>
      <c r="D23" s="127"/>
      <c r="E23" s="54">
        <v>0</v>
      </c>
      <c r="F23" s="55">
        <v>0</v>
      </c>
      <c r="G23" s="128">
        <f t="shared" si="0"/>
        <v>0</v>
      </c>
      <c r="H23" s="129"/>
    </row>
    <row r="24" spans="1:16" s="21" customFormat="1" ht="18" customHeight="1" x14ac:dyDescent="0.4">
      <c r="A24" s="54">
        <v>6</v>
      </c>
      <c r="B24" s="141" t="s">
        <v>5</v>
      </c>
      <c r="C24" s="142"/>
      <c r="D24" s="143"/>
      <c r="E24" s="54">
        <v>1</v>
      </c>
      <c r="F24" s="55">
        <v>1833500</v>
      </c>
      <c r="G24" s="128">
        <f t="shared" si="0"/>
        <v>1833500</v>
      </c>
      <c r="H24" s="129"/>
    </row>
    <row r="25" spans="1:16" s="21" customFormat="1" ht="18" customHeight="1" x14ac:dyDescent="0.4">
      <c r="A25" s="54">
        <v>7</v>
      </c>
      <c r="B25" s="125" t="s">
        <v>6</v>
      </c>
      <c r="C25" s="126"/>
      <c r="D25" s="127"/>
      <c r="E25" s="54">
        <v>1</v>
      </c>
      <c r="F25" s="55">
        <v>1800000</v>
      </c>
      <c r="G25" s="128">
        <f t="shared" si="0"/>
        <v>1800000</v>
      </c>
      <c r="H25" s="129"/>
    </row>
    <row r="26" spans="1:16" s="21" customFormat="1" ht="18" customHeight="1" x14ac:dyDescent="0.4">
      <c r="A26" s="130" t="s">
        <v>44</v>
      </c>
      <c r="B26" s="131"/>
      <c r="C26" s="131"/>
      <c r="D26" s="132"/>
      <c r="E26" s="52">
        <f>SUM(E19:E25)</f>
        <v>6</v>
      </c>
      <c r="F26" s="57"/>
      <c r="G26" s="133">
        <f>SUM(G19:H25)</f>
        <v>6243500</v>
      </c>
      <c r="H26" s="134"/>
    </row>
    <row r="27" spans="1:16" x14ac:dyDescent="0.5">
      <c r="A27" s="32"/>
      <c r="B27" s="33"/>
      <c r="C27" s="33"/>
      <c r="D27" s="34"/>
      <c r="E27" s="35"/>
      <c r="F27" s="36"/>
      <c r="G27" s="37"/>
      <c r="H27" s="38"/>
    </row>
    <row r="28" spans="1:16" x14ac:dyDescent="0.5">
      <c r="A28" s="135" t="s">
        <v>45</v>
      </c>
      <c r="B28" s="136"/>
      <c r="C28" s="136"/>
      <c r="D28" s="137"/>
      <c r="E28" s="138">
        <f>G26+G16</f>
        <v>25543650</v>
      </c>
      <c r="F28" s="139"/>
      <c r="G28" s="139"/>
      <c r="H28" s="140"/>
    </row>
    <row r="29" spans="1:16" ht="20.399999999999999" x14ac:dyDescent="0.5">
      <c r="A29" s="39"/>
      <c r="B29" s="39"/>
      <c r="C29" s="39"/>
      <c r="D29" s="39"/>
      <c r="E29" s="40"/>
      <c r="F29" s="40"/>
      <c r="G29" s="41"/>
      <c r="H29" s="41"/>
    </row>
    <row r="30" spans="1:16" x14ac:dyDescent="0.5">
      <c r="A30" s="42"/>
      <c r="B30" s="42" t="s">
        <v>46</v>
      </c>
      <c r="C30" s="42"/>
      <c r="D30" s="121" t="s">
        <v>47</v>
      </c>
      <c r="E30" s="121"/>
      <c r="F30" s="42"/>
      <c r="G30" s="122" t="s">
        <v>48</v>
      </c>
      <c r="H30" s="122"/>
    </row>
  </sheetData>
  <mergeCells count="51">
    <mergeCell ref="A1:H1"/>
    <mergeCell ref="A2:H2"/>
    <mergeCell ref="A3:H3"/>
    <mergeCell ref="A4:H4"/>
    <mergeCell ref="C5:E5"/>
    <mergeCell ref="G5:H5"/>
    <mergeCell ref="A6:B6"/>
    <mergeCell ref="C6:E6"/>
    <mergeCell ref="G6:H6"/>
    <mergeCell ref="A7:B7"/>
    <mergeCell ref="C7:E7"/>
    <mergeCell ref="C8:E8"/>
    <mergeCell ref="G10:H10"/>
    <mergeCell ref="C9:E9"/>
    <mergeCell ref="A11:B11"/>
    <mergeCell ref="C11:E11"/>
    <mergeCell ref="G11:H11"/>
    <mergeCell ref="A18:D18"/>
    <mergeCell ref="G18:H18"/>
    <mergeCell ref="A13:D13"/>
    <mergeCell ref="G13:H13"/>
    <mergeCell ref="B14:D14"/>
    <mergeCell ref="G14:H14"/>
    <mergeCell ref="B15:D15"/>
    <mergeCell ref="G15:H15"/>
    <mergeCell ref="A16:D16"/>
    <mergeCell ref="G16:H16"/>
    <mergeCell ref="A17:B17"/>
    <mergeCell ref="C17:D17"/>
    <mergeCell ref="G17:H17"/>
    <mergeCell ref="G19:H19"/>
    <mergeCell ref="B20:D20"/>
    <mergeCell ref="G20:H20"/>
    <mergeCell ref="B21:D21"/>
    <mergeCell ref="G21:H21"/>
    <mergeCell ref="D30:E30"/>
    <mergeCell ref="G30:H30"/>
    <mergeCell ref="G12:H12"/>
    <mergeCell ref="B25:D25"/>
    <mergeCell ref="G25:H25"/>
    <mergeCell ref="A26:D26"/>
    <mergeCell ref="G26:H26"/>
    <mergeCell ref="A28:D28"/>
    <mergeCell ref="E28:H28"/>
    <mergeCell ref="B22:D22"/>
    <mergeCell ref="G22:H22"/>
    <mergeCell ref="B23:D23"/>
    <mergeCell ref="G23:H23"/>
    <mergeCell ref="B24:D24"/>
    <mergeCell ref="G24:H24"/>
    <mergeCell ref="B19:D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6434-BD92-4DF8-8A49-58BBA898BEA0}">
  <dimension ref="A1:N53"/>
  <sheetViews>
    <sheetView tabSelected="1" topLeftCell="A12" zoomScale="60" zoomScaleNormal="60" workbookViewId="0">
      <selection activeCell="J45" sqref="J45"/>
    </sheetView>
  </sheetViews>
  <sheetFormatPr defaultColWidth="9.109375" defaultRowHeight="18.600000000000001" x14ac:dyDescent="0.5"/>
  <cols>
    <col min="1" max="1" width="6.109375" style="13" customWidth="1"/>
    <col min="2" max="2" width="32" style="13" customWidth="1"/>
    <col min="3" max="3" width="20.5546875" style="13" bestFit="1" customWidth="1"/>
    <col min="4" max="4" width="20.33203125" style="13" customWidth="1"/>
    <col min="5" max="5" width="20.44140625" style="13" bestFit="1" customWidth="1"/>
    <col min="6" max="6" width="7.44140625" style="66" customWidth="1"/>
    <col min="7" max="7" width="13.109375" style="13" customWidth="1"/>
    <col min="8" max="8" width="3.5546875" style="13" customWidth="1"/>
    <col min="9" max="9" width="14" style="93" customWidth="1"/>
    <col min="10" max="10" width="45.33203125" style="67" bestFit="1" customWidth="1"/>
    <col min="11" max="13" width="9.109375" style="67"/>
    <col min="14" max="16384" width="9.109375" style="13"/>
  </cols>
  <sheetData>
    <row r="1" spans="1:13" x14ac:dyDescent="0.5">
      <c r="B1" s="110"/>
      <c r="C1" s="110"/>
      <c r="D1" s="110"/>
      <c r="E1" s="110"/>
      <c r="F1" s="12"/>
    </row>
    <row r="2" spans="1:13" x14ac:dyDescent="0.5">
      <c r="B2" s="111" t="s">
        <v>8</v>
      </c>
      <c r="C2" s="111"/>
      <c r="D2" s="111"/>
      <c r="E2" s="111"/>
      <c r="F2" s="14"/>
    </row>
    <row r="3" spans="1:13" x14ac:dyDescent="0.5">
      <c r="B3" s="112" t="s">
        <v>9</v>
      </c>
      <c r="C3" s="112"/>
      <c r="D3" s="112"/>
      <c r="E3" s="112"/>
      <c r="F3" s="15"/>
    </row>
    <row r="4" spans="1:13" s="16" customFormat="1" ht="24" customHeight="1" x14ac:dyDescent="0.65">
      <c r="B4" s="113" t="s">
        <v>80</v>
      </c>
      <c r="C4" s="113"/>
      <c r="D4" s="113"/>
      <c r="E4" s="113"/>
      <c r="F4" s="84"/>
      <c r="I4" s="95"/>
      <c r="J4" s="96"/>
      <c r="K4" s="96"/>
      <c r="L4" s="96"/>
      <c r="M4" s="96"/>
    </row>
    <row r="5" spans="1:13" s="16" customFormat="1" ht="24.6" x14ac:dyDescent="0.65">
      <c r="A5" s="102" t="s">
        <v>168</v>
      </c>
      <c r="B5" s="106" t="s">
        <v>167</v>
      </c>
      <c r="C5" s="106"/>
      <c r="D5" s="106"/>
      <c r="E5" s="106"/>
      <c r="F5" s="84"/>
      <c r="I5" s="95"/>
      <c r="J5" s="96"/>
      <c r="K5" s="96"/>
      <c r="L5" s="96"/>
      <c r="M5" s="96"/>
    </row>
    <row r="6" spans="1:13" ht="20.399999999999999" customHeight="1" x14ac:dyDescent="0.5">
      <c r="A6" s="17"/>
      <c r="B6" s="17" t="s">
        <v>11</v>
      </c>
      <c r="C6" s="58" t="s">
        <v>12</v>
      </c>
      <c r="D6" s="62" t="s">
        <v>107</v>
      </c>
      <c r="E6" s="72" t="s">
        <v>97</v>
      </c>
      <c r="F6" s="13"/>
      <c r="I6" s="85"/>
      <c r="J6" s="13" t="s">
        <v>92</v>
      </c>
    </row>
    <row r="7" spans="1:13" ht="20.399999999999999" customHeight="1" x14ac:dyDescent="0.5">
      <c r="A7" s="17"/>
      <c r="B7" s="59" t="s">
        <v>18</v>
      </c>
      <c r="C7" s="64" t="s">
        <v>19</v>
      </c>
      <c r="D7" s="62" t="s">
        <v>106</v>
      </c>
      <c r="E7" s="90">
        <v>46253</v>
      </c>
      <c r="F7" s="13"/>
      <c r="I7" s="85" t="s">
        <v>72</v>
      </c>
      <c r="J7" s="105">
        <v>22000</v>
      </c>
    </row>
    <row r="8" spans="1:13" ht="20.399999999999999" customHeight="1" x14ac:dyDescent="0.5">
      <c r="A8" s="17"/>
      <c r="B8" s="59" t="s">
        <v>21</v>
      </c>
      <c r="C8" s="59" t="s">
        <v>22</v>
      </c>
      <c r="D8" s="62" t="s">
        <v>105</v>
      </c>
      <c r="E8" s="90">
        <v>46253</v>
      </c>
      <c r="F8" s="13"/>
      <c r="I8" s="85" t="s">
        <v>93</v>
      </c>
      <c r="J8" s="105">
        <v>700</v>
      </c>
    </row>
    <row r="9" spans="1:13" ht="20.399999999999999" customHeight="1" x14ac:dyDescent="0.5">
      <c r="A9" s="17"/>
      <c r="B9" s="59" t="s">
        <v>25</v>
      </c>
      <c r="C9" s="59" t="s">
        <v>26</v>
      </c>
      <c r="D9" s="62" t="s">
        <v>104</v>
      </c>
      <c r="E9" s="90">
        <v>46256</v>
      </c>
      <c r="F9" s="13"/>
      <c r="I9" s="85" t="s">
        <v>88</v>
      </c>
      <c r="J9" s="105">
        <v>1.2</v>
      </c>
    </row>
    <row r="10" spans="1:13" ht="20.399999999999999" customHeight="1" x14ac:dyDescent="0.5">
      <c r="A10" s="17"/>
      <c r="B10" s="59" t="s">
        <v>15</v>
      </c>
      <c r="C10" s="65" t="s">
        <v>16</v>
      </c>
      <c r="D10" s="59" t="s">
        <v>30</v>
      </c>
      <c r="E10" s="68" t="s">
        <v>31</v>
      </c>
    </row>
    <row r="11" spans="1:13" ht="20.399999999999999" customHeight="1" x14ac:dyDescent="0.5">
      <c r="A11" s="17"/>
      <c r="B11" s="59" t="s">
        <v>108</v>
      </c>
      <c r="C11" s="86">
        <v>7891</v>
      </c>
      <c r="D11" s="78">
        <v>6921</v>
      </c>
      <c r="E11" s="78">
        <v>970</v>
      </c>
    </row>
    <row r="12" spans="1:13" ht="26.4" customHeight="1" x14ac:dyDescent="0.5">
      <c r="A12" s="17" t="s">
        <v>169</v>
      </c>
      <c r="B12" s="109" t="s">
        <v>179</v>
      </c>
      <c r="C12" s="109"/>
      <c r="D12" s="109"/>
      <c r="E12" s="109"/>
      <c r="F12" s="85"/>
    </row>
    <row r="13" spans="1:13" ht="20.399999999999999" customHeight="1" x14ac:dyDescent="0.5">
      <c r="A13" s="17"/>
      <c r="B13" s="59" t="s">
        <v>98</v>
      </c>
      <c r="C13" s="72" t="s">
        <v>24</v>
      </c>
      <c r="D13" s="17" t="s">
        <v>103</v>
      </c>
      <c r="E13" s="91"/>
    </row>
    <row r="14" spans="1:13" ht="20.399999999999999" customHeight="1" x14ac:dyDescent="0.5">
      <c r="A14" s="17"/>
      <c r="B14" s="17" t="s">
        <v>99</v>
      </c>
      <c r="C14" s="72" t="s">
        <v>14</v>
      </c>
      <c r="D14" s="17" t="s">
        <v>102</v>
      </c>
      <c r="E14" s="92">
        <v>46253</v>
      </c>
    </row>
    <row r="15" spans="1:13" ht="20.399999999999999" customHeight="1" x14ac:dyDescent="0.5">
      <c r="A15" s="17"/>
      <c r="B15" s="59" t="s">
        <v>100</v>
      </c>
      <c r="C15" s="73" t="s">
        <v>29</v>
      </c>
      <c r="D15" s="59" t="s">
        <v>101</v>
      </c>
      <c r="E15" s="73" t="s">
        <v>33</v>
      </c>
    </row>
    <row r="16" spans="1:13" ht="20.399999999999999" customHeight="1" x14ac:dyDescent="0.5">
      <c r="A16" s="17"/>
      <c r="B16" s="17" t="s">
        <v>109</v>
      </c>
      <c r="C16" s="72"/>
      <c r="D16" s="68" t="s">
        <v>70</v>
      </c>
      <c r="E16" s="61"/>
    </row>
    <row r="17" spans="1:14" ht="20.399999999999999" customHeight="1" x14ac:dyDescent="0.5">
      <c r="A17" s="17"/>
      <c r="B17" s="17" t="s">
        <v>110</v>
      </c>
      <c r="C17" s="86"/>
      <c r="D17" s="68" t="s">
        <v>70</v>
      </c>
      <c r="E17" s="61"/>
      <c r="F17" s="85"/>
    </row>
    <row r="18" spans="1:14" ht="20.399999999999999" customHeight="1" x14ac:dyDescent="0.5">
      <c r="A18" s="17"/>
      <c r="B18" s="17" t="s">
        <v>126</v>
      </c>
      <c r="C18" s="86"/>
      <c r="D18" s="68" t="s">
        <v>72</v>
      </c>
      <c r="E18" s="61"/>
      <c r="F18" s="85"/>
      <c r="I18" s="93" t="s">
        <v>130</v>
      </c>
    </row>
    <row r="19" spans="1:14" ht="20.399999999999999" customHeight="1" x14ac:dyDescent="0.5">
      <c r="A19" s="17"/>
      <c r="B19" s="17" t="s">
        <v>127</v>
      </c>
      <c r="C19" s="86"/>
      <c r="D19" s="68" t="s">
        <v>72</v>
      </c>
      <c r="E19" s="61"/>
      <c r="F19" s="85"/>
      <c r="I19" s="93" t="s">
        <v>111</v>
      </c>
      <c r="J19" s="67" t="s">
        <v>123</v>
      </c>
    </row>
    <row r="20" spans="1:14" ht="20.399999999999999" customHeight="1" x14ac:dyDescent="0.5">
      <c r="A20" s="17"/>
      <c r="B20" s="17" t="s">
        <v>128</v>
      </c>
      <c r="C20" s="86"/>
      <c r="D20" s="68" t="s">
        <v>93</v>
      </c>
      <c r="E20" s="61"/>
      <c r="F20" s="85"/>
      <c r="I20" s="93" t="s">
        <v>124</v>
      </c>
      <c r="J20" s="67" t="s">
        <v>125</v>
      </c>
    </row>
    <row r="21" spans="1:14" ht="20.399999999999999" customHeight="1" x14ac:dyDescent="0.5">
      <c r="A21" s="17"/>
      <c r="B21" s="17" t="s">
        <v>129</v>
      </c>
      <c r="C21" s="86"/>
      <c r="D21" s="68" t="s">
        <v>87</v>
      </c>
      <c r="E21" s="61"/>
      <c r="F21" s="85"/>
    </row>
    <row r="22" spans="1:14" ht="21.6" x14ac:dyDescent="0.6">
      <c r="A22" s="17" t="s">
        <v>170</v>
      </c>
      <c r="B22" s="108" t="s">
        <v>82</v>
      </c>
      <c r="C22" s="108"/>
      <c r="D22" s="108"/>
      <c r="E22" s="108"/>
      <c r="F22" s="108"/>
      <c r="G22" s="108"/>
    </row>
    <row r="23" spans="1:14" ht="20.399999999999999" customHeight="1" x14ac:dyDescent="0.5">
      <c r="A23" s="17"/>
      <c r="B23" s="59" t="s">
        <v>83</v>
      </c>
      <c r="C23" s="60" t="s">
        <v>35</v>
      </c>
      <c r="D23" s="60" t="s">
        <v>54</v>
      </c>
      <c r="E23" s="60" t="s">
        <v>55</v>
      </c>
      <c r="F23" s="60"/>
      <c r="G23" s="61" t="s">
        <v>81</v>
      </c>
    </row>
    <row r="24" spans="1:14" s="67" customFormat="1" ht="20.399999999999999" customHeight="1" x14ac:dyDescent="0.5">
      <c r="A24" s="68">
        <v>1</v>
      </c>
      <c r="B24" s="72" t="s">
        <v>84</v>
      </c>
      <c r="C24" s="86">
        <v>100</v>
      </c>
      <c r="D24" s="87">
        <v>30000</v>
      </c>
      <c r="E24" s="74">
        <f>+C24*D24</f>
        <v>3000000</v>
      </c>
      <c r="F24" s="103" t="s">
        <v>87</v>
      </c>
      <c r="G24" s="88" t="s">
        <v>90</v>
      </c>
      <c r="I24" s="93" t="s">
        <v>115</v>
      </c>
      <c r="J24" s="67" t="s">
        <v>120</v>
      </c>
    </row>
    <row r="25" spans="1:14" s="67" customFormat="1" ht="20.399999999999999" customHeight="1" x14ac:dyDescent="0.5">
      <c r="A25" s="68">
        <v>2</v>
      </c>
      <c r="B25" s="72" t="s">
        <v>84</v>
      </c>
      <c r="C25" s="86">
        <v>750</v>
      </c>
      <c r="D25" s="87">
        <v>28000</v>
      </c>
      <c r="E25" s="74">
        <f>+C25*D25</f>
        <v>21000000</v>
      </c>
      <c r="F25" s="103" t="s">
        <v>88</v>
      </c>
      <c r="G25" s="88" t="s">
        <v>91</v>
      </c>
      <c r="I25" s="93" t="s">
        <v>115</v>
      </c>
      <c r="J25" s="67" t="s">
        <v>120</v>
      </c>
    </row>
    <row r="26" spans="1:14" ht="20.399999999999999" customHeight="1" x14ac:dyDescent="0.5">
      <c r="A26" s="17"/>
      <c r="B26" s="82" t="s">
        <v>37</v>
      </c>
      <c r="C26" s="83">
        <f>SUM(C24:C25)</f>
        <v>850</v>
      </c>
      <c r="D26" s="83"/>
      <c r="E26" s="83">
        <f>+E24+(E25*1.2)</f>
        <v>28200000</v>
      </c>
      <c r="F26" s="103" t="s">
        <v>87</v>
      </c>
      <c r="G26" s="17"/>
    </row>
    <row r="27" spans="1:14" ht="21.6" x14ac:dyDescent="0.5">
      <c r="A27" s="17" t="s">
        <v>171</v>
      </c>
      <c r="B27" s="106" t="s">
        <v>86</v>
      </c>
      <c r="C27" s="106"/>
      <c r="D27" s="106"/>
      <c r="E27" s="106"/>
      <c r="F27" s="106"/>
      <c r="G27" s="106"/>
    </row>
    <row r="28" spans="1:14" s="66" customFormat="1" ht="18" customHeight="1" x14ac:dyDescent="0.5">
      <c r="A28" s="63"/>
      <c r="B28" s="60" t="s">
        <v>83</v>
      </c>
      <c r="C28" s="60" t="s">
        <v>35</v>
      </c>
      <c r="D28" s="60" t="s">
        <v>54</v>
      </c>
      <c r="E28" s="60" t="s">
        <v>55</v>
      </c>
      <c r="F28" s="60"/>
      <c r="G28" s="63" t="s">
        <v>89</v>
      </c>
      <c r="I28" s="93"/>
      <c r="J28" s="93"/>
      <c r="K28" s="93"/>
      <c r="L28" s="93"/>
      <c r="M28" s="93"/>
    </row>
    <row r="29" spans="1:14" s="71" customFormat="1" ht="18" customHeight="1" x14ac:dyDescent="0.5">
      <c r="A29" s="68">
        <v>1</v>
      </c>
      <c r="B29" s="68" t="s">
        <v>0</v>
      </c>
      <c r="C29" s="76">
        <v>1</v>
      </c>
      <c r="D29" s="80">
        <v>60000</v>
      </c>
      <c r="E29" s="80">
        <f t="shared" ref="E29:E36" si="0">C29*D29</f>
        <v>60000</v>
      </c>
      <c r="F29" s="103" t="s">
        <v>87</v>
      </c>
      <c r="G29" s="72"/>
      <c r="I29" s="94" t="s">
        <v>112</v>
      </c>
      <c r="J29" s="71" t="s">
        <v>116</v>
      </c>
      <c r="N29" s="67"/>
    </row>
    <row r="30" spans="1:14" s="71" customFormat="1" ht="18" customHeight="1" x14ac:dyDescent="0.5">
      <c r="A30" s="68">
        <v>2</v>
      </c>
      <c r="B30" s="68" t="s">
        <v>1</v>
      </c>
      <c r="C30" s="76">
        <v>1</v>
      </c>
      <c r="D30" s="80">
        <v>430000</v>
      </c>
      <c r="E30" s="80">
        <f t="shared" si="0"/>
        <v>430000</v>
      </c>
      <c r="F30" s="103" t="s">
        <v>87</v>
      </c>
      <c r="G30" s="72"/>
      <c r="I30" s="94" t="s">
        <v>112</v>
      </c>
      <c r="J30" s="71" t="s">
        <v>117</v>
      </c>
    </row>
    <row r="31" spans="1:14" s="71" customFormat="1" ht="18" customHeight="1" x14ac:dyDescent="0.5">
      <c r="A31" s="68">
        <v>3</v>
      </c>
      <c r="B31" s="68" t="s">
        <v>2</v>
      </c>
      <c r="C31" s="76">
        <v>1</v>
      </c>
      <c r="D31" s="80">
        <v>620000</v>
      </c>
      <c r="E31" s="80">
        <f t="shared" si="0"/>
        <v>620000</v>
      </c>
      <c r="F31" s="103" t="s">
        <v>87</v>
      </c>
      <c r="G31" s="72"/>
      <c r="I31" s="94" t="s">
        <v>112</v>
      </c>
      <c r="J31" s="71" t="s">
        <v>118</v>
      </c>
    </row>
    <row r="32" spans="1:14" s="71" customFormat="1" ht="18" customHeight="1" x14ac:dyDescent="0.5">
      <c r="A32" s="68">
        <v>4</v>
      </c>
      <c r="B32" s="68" t="s">
        <v>3</v>
      </c>
      <c r="C32" s="76">
        <v>1</v>
      </c>
      <c r="D32" s="80">
        <v>1500000</v>
      </c>
      <c r="E32" s="80">
        <f t="shared" si="0"/>
        <v>1500000</v>
      </c>
      <c r="F32" s="103" t="s">
        <v>87</v>
      </c>
      <c r="G32" s="72"/>
      <c r="I32" s="94" t="s">
        <v>112</v>
      </c>
      <c r="J32" s="71" t="s">
        <v>118</v>
      </c>
    </row>
    <row r="33" spans="1:13" s="71" customFormat="1" ht="18" customHeight="1" x14ac:dyDescent="0.5">
      <c r="A33" s="68">
        <v>5</v>
      </c>
      <c r="B33" s="68" t="s">
        <v>4</v>
      </c>
      <c r="C33" s="76">
        <v>0</v>
      </c>
      <c r="D33" s="80">
        <v>0</v>
      </c>
      <c r="E33" s="80">
        <f t="shared" si="0"/>
        <v>0</v>
      </c>
      <c r="F33" s="103" t="s">
        <v>87</v>
      </c>
      <c r="G33" s="72"/>
      <c r="I33" s="94" t="s">
        <v>112</v>
      </c>
    </row>
    <row r="34" spans="1:13" s="67" customFormat="1" ht="18" customHeight="1" x14ac:dyDescent="0.5">
      <c r="A34" s="68">
        <v>6</v>
      </c>
      <c r="B34" s="68" t="s">
        <v>5</v>
      </c>
      <c r="C34" s="76">
        <v>1</v>
      </c>
      <c r="D34" s="80">
        <v>1833500</v>
      </c>
      <c r="E34" s="80">
        <f t="shared" si="0"/>
        <v>1833500</v>
      </c>
      <c r="F34" s="103" t="s">
        <v>87</v>
      </c>
      <c r="G34" s="68"/>
      <c r="I34" s="94" t="s">
        <v>112</v>
      </c>
      <c r="J34" s="67" t="s">
        <v>119</v>
      </c>
    </row>
    <row r="35" spans="1:13" s="67" customFormat="1" ht="18" customHeight="1" x14ac:dyDescent="0.5">
      <c r="A35" s="68">
        <v>7</v>
      </c>
      <c r="B35" s="68" t="s">
        <v>6</v>
      </c>
      <c r="C35" s="76">
        <v>1</v>
      </c>
      <c r="D35" s="80">
        <v>1800000</v>
      </c>
      <c r="E35" s="80">
        <f t="shared" si="0"/>
        <v>1800000</v>
      </c>
      <c r="F35" s="103" t="s">
        <v>87</v>
      </c>
      <c r="G35" s="68"/>
      <c r="I35" s="94" t="s">
        <v>112</v>
      </c>
      <c r="J35" s="71" t="s">
        <v>116</v>
      </c>
    </row>
    <row r="36" spans="1:13" s="67" customFormat="1" ht="18" customHeight="1" x14ac:dyDescent="0.5">
      <c r="A36" s="68">
        <v>8</v>
      </c>
      <c r="B36" s="68" t="s">
        <v>178</v>
      </c>
      <c r="C36" s="76">
        <v>1</v>
      </c>
      <c r="D36" s="80">
        <v>150000</v>
      </c>
      <c r="E36" s="80">
        <f t="shared" si="0"/>
        <v>150000</v>
      </c>
      <c r="F36" s="103" t="s">
        <v>87</v>
      </c>
      <c r="G36" s="68"/>
      <c r="I36" s="94" t="s">
        <v>112</v>
      </c>
      <c r="J36" s="71" t="s">
        <v>117</v>
      </c>
    </row>
    <row r="37" spans="1:13" s="67" customFormat="1" ht="18" hidden="1" customHeight="1" x14ac:dyDescent="0.5">
      <c r="A37" s="68">
        <v>9</v>
      </c>
      <c r="B37" s="68" t="s">
        <v>177</v>
      </c>
      <c r="C37" s="69"/>
      <c r="D37" s="70"/>
      <c r="E37" s="70"/>
      <c r="F37" s="104"/>
      <c r="G37" s="68"/>
      <c r="I37" s="93"/>
    </row>
    <row r="38" spans="1:13" ht="18" customHeight="1" x14ac:dyDescent="0.5">
      <c r="A38" s="17"/>
      <c r="B38" s="107" t="s">
        <v>37</v>
      </c>
      <c r="C38" s="107"/>
      <c r="D38" s="107"/>
      <c r="E38" s="81">
        <f>SUM(E29:E36)</f>
        <v>6393500</v>
      </c>
      <c r="F38" s="103" t="s">
        <v>87</v>
      </c>
      <c r="G38" s="63"/>
    </row>
    <row r="39" spans="1:13" ht="21.6" x14ac:dyDescent="0.5">
      <c r="A39" s="63" t="s">
        <v>172</v>
      </c>
      <c r="B39" s="106" t="s">
        <v>85</v>
      </c>
      <c r="C39" s="106"/>
      <c r="D39" s="106"/>
      <c r="E39" s="106"/>
      <c r="F39" s="106"/>
      <c r="G39" s="106"/>
    </row>
    <row r="40" spans="1:13" s="66" customFormat="1" ht="18" customHeight="1" x14ac:dyDescent="0.5">
      <c r="A40" s="63"/>
      <c r="B40" s="60" t="s">
        <v>83</v>
      </c>
      <c r="C40" s="60" t="s">
        <v>35</v>
      </c>
      <c r="D40" s="60" t="s">
        <v>54</v>
      </c>
      <c r="E40" s="60" t="s">
        <v>55</v>
      </c>
      <c r="F40" s="60"/>
      <c r="G40" s="63" t="s">
        <v>89</v>
      </c>
      <c r="I40" s="93"/>
      <c r="J40" s="93"/>
      <c r="K40" s="93"/>
      <c r="L40" s="93"/>
      <c r="M40" s="93"/>
    </row>
    <row r="41" spans="1:13" x14ac:dyDescent="0.5">
      <c r="A41" s="68">
        <v>1</v>
      </c>
      <c r="B41" s="79" t="s">
        <v>174</v>
      </c>
      <c r="C41" s="75">
        <v>1</v>
      </c>
      <c r="D41" s="76">
        <v>150000</v>
      </c>
      <c r="E41" s="77">
        <f>+C41*D41</f>
        <v>150000</v>
      </c>
      <c r="F41" s="103" t="s">
        <v>87</v>
      </c>
      <c r="G41" s="17"/>
      <c r="I41" s="93" t="s">
        <v>113</v>
      </c>
      <c r="J41" s="67" t="s">
        <v>122</v>
      </c>
    </row>
    <row r="42" spans="1:13" x14ac:dyDescent="0.5">
      <c r="A42" s="68">
        <v>2</v>
      </c>
      <c r="B42" s="79" t="s">
        <v>175</v>
      </c>
      <c r="C42" s="78">
        <v>1</v>
      </c>
      <c r="D42" s="78">
        <v>500000</v>
      </c>
      <c r="E42" s="77">
        <f>+C42*D42</f>
        <v>500000</v>
      </c>
      <c r="F42" s="103" t="s">
        <v>87</v>
      </c>
      <c r="G42" s="17"/>
      <c r="I42" s="93" t="s">
        <v>114</v>
      </c>
      <c r="J42" s="67" t="s">
        <v>121</v>
      </c>
    </row>
    <row r="43" spans="1:13" hidden="1" x14ac:dyDescent="0.5">
      <c r="A43" s="68">
        <v>3</v>
      </c>
      <c r="B43" s="79" t="s">
        <v>176</v>
      </c>
      <c r="C43" s="78"/>
      <c r="D43" s="78"/>
      <c r="E43" s="77"/>
      <c r="F43" s="103"/>
      <c r="G43" s="17"/>
    </row>
    <row r="44" spans="1:13" x14ac:dyDescent="0.5">
      <c r="A44" s="17"/>
      <c r="B44" s="107" t="s">
        <v>37</v>
      </c>
      <c r="C44" s="107"/>
      <c r="D44" s="107"/>
      <c r="E44" s="81">
        <f>SUM(E41:E42)</f>
        <v>650000</v>
      </c>
      <c r="F44" s="103" t="s">
        <v>87</v>
      </c>
      <c r="G44" s="17"/>
    </row>
    <row r="45" spans="1:13" ht="21.6" x14ac:dyDescent="0.5">
      <c r="A45" s="17" t="s">
        <v>173</v>
      </c>
      <c r="B45" s="106" t="s">
        <v>94</v>
      </c>
      <c r="C45" s="106"/>
      <c r="D45" s="106"/>
      <c r="E45" s="106"/>
      <c r="F45" s="106"/>
      <c r="G45" s="106"/>
    </row>
    <row r="46" spans="1:13" x14ac:dyDescent="0.5">
      <c r="A46" s="17"/>
      <c r="B46" s="60" t="s">
        <v>83</v>
      </c>
      <c r="C46" s="60" t="s">
        <v>35</v>
      </c>
      <c r="D46" s="60" t="s">
        <v>54</v>
      </c>
      <c r="E46" s="60" t="s">
        <v>55</v>
      </c>
      <c r="F46" s="60"/>
      <c r="G46" s="63" t="s">
        <v>89</v>
      </c>
    </row>
    <row r="47" spans="1:13" x14ac:dyDescent="0.5">
      <c r="A47" s="17"/>
      <c r="B47" s="79"/>
      <c r="C47" s="75"/>
      <c r="D47" s="76"/>
      <c r="E47" s="77"/>
      <c r="F47" s="103" t="s">
        <v>87</v>
      </c>
      <c r="G47" s="17"/>
    </row>
    <row r="48" spans="1:13" hidden="1" x14ac:dyDescent="0.5">
      <c r="A48" s="17"/>
      <c r="B48" s="79"/>
      <c r="C48" s="78"/>
      <c r="D48" s="78"/>
      <c r="E48" s="77"/>
      <c r="F48" s="103" t="s">
        <v>87</v>
      </c>
      <c r="G48" s="17"/>
    </row>
    <row r="49" spans="1:7" x14ac:dyDescent="0.5">
      <c r="A49" s="17"/>
      <c r="B49" s="107" t="s">
        <v>37</v>
      </c>
      <c r="C49" s="107"/>
      <c r="D49" s="107"/>
      <c r="E49" s="81">
        <f>SUM(E47:E48)</f>
        <v>0</v>
      </c>
      <c r="F49" s="103" t="s">
        <v>87</v>
      </c>
      <c r="G49" s="17"/>
    </row>
    <row r="50" spans="1:7" ht="9" customHeight="1" x14ac:dyDescent="0.5"/>
    <row r="51" spans="1:7" ht="26.4" customHeight="1" x14ac:dyDescent="0.5">
      <c r="B51" s="17" t="s">
        <v>49</v>
      </c>
      <c r="C51" s="89">
        <f>+C21</f>
        <v>0</v>
      </c>
    </row>
    <row r="52" spans="1:7" x14ac:dyDescent="0.5">
      <c r="B52" s="17" t="s">
        <v>95</v>
      </c>
      <c r="C52" s="89">
        <f>+E26+E38+E44+E49</f>
        <v>35243500</v>
      </c>
    </row>
    <row r="53" spans="1:7" x14ac:dyDescent="0.5">
      <c r="B53" s="17" t="s">
        <v>96</v>
      </c>
      <c r="C53" s="89">
        <f>+C51-C52</f>
        <v>-35243500</v>
      </c>
    </row>
  </sheetData>
  <mergeCells count="13">
    <mergeCell ref="B1:E1"/>
    <mergeCell ref="B2:E2"/>
    <mergeCell ref="B3:E3"/>
    <mergeCell ref="B4:E4"/>
    <mergeCell ref="B5:E5"/>
    <mergeCell ref="B44:D44"/>
    <mergeCell ref="B49:D49"/>
    <mergeCell ref="B27:G27"/>
    <mergeCell ref="B22:G22"/>
    <mergeCell ref="B39:G39"/>
    <mergeCell ref="B45:G45"/>
    <mergeCell ref="B12:E12"/>
    <mergeCell ref="B38:D3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C38B-1FA3-4BA7-84CC-FEBC61FFB7DB}">
  <dimension ref="A3:F12"/>
  <sheetViews>
    <sheetView workbookViewId="0">
      <selection activeCell="C18" sqref="C18"/>
    </sheetView>
  </sheetViews>
  <sheetFormatPr defaultRowHeight="15.6" x14ac:dyDescent="0.4"/>
  <cols>
    <col min="1" max="1" width="8.88671875" style="1"/>
    <col min="2" max="2" width="21.33203125" style="1" customWidth="1"/>
    <col min="3" max="3" width="19.88671875" style="1" customWidth="1"/>
    <col min="4" max="4" width="20.109375" style="1" customWidth="1"/>
    <col min="5" max="5" width="18.109375" style="1" bestFit="1" customWidth="1"/>
    <col min="6" max="6" width="22.6640625" style="1" bestFit="1" customWidth="1"/>
    <col min="7" max="16384" width="8.88671875" style="1"/>
  </cols>
  <sheetData>
    <row r="3" spans="1:6" s="97" customFormat="1" x14ac:dyDescent="0.4">
      <c r="B3" s="97" t="s">
        <v>131</v>
      </c>
    </row>
    <row r="4" spans="1:6" s="6" customFormat="1" x14ac:dyDescent="0.4">
      <c r="A4" s="6">
        <v>1</v>
      </c>
      <c r="B4" s="6" t="s">
        <v>80</v>
      </c>
      <c r="C4" s="97" t="s">
        <v>133</v>
      </c>
      <c r="D4" s="97" t="s">
        <v>134</v>
      </c>
      <c r="E4" s="97" t="s">
        <v>146</v>
      </c>
      <c r="F4" s="97" t="s">
        <v>138</v>
      </c>
    </row>
    <row r="5" spans="1:6" x14ac:dyDescent="0.4">
      <c r="B5" s="1" t="s">
        <v>143</v>
      </c>
      <c r="C5" s="1" t="s">
        <v>132</v>
      </c>
      <c r="D5" s="1" t="s">
        <v>145</v>
      </c>
    </row>
    <row r="6" spans="1:6" x14ac:dyDescent="0.4">
      <c r="B6" s="1" t="s">
        <v>144</v>
      </c>
      <c r="C6" s="1" t="s">
        <v>132</v>
      </c>
      <c r="D6" s="1" t="s">
        <v>145</v>
      </c>
    </row>
    <row r="7" spans="1:6" x14ac:dyDescent="0.4">
      <c r="B7" s="1" t="s">
        <v>82</v>
      </c>
      <c r="C7" s="1" t="s">
        <v>132</v>
      </c>
      <c r="D7" s="1" t="s">
        <v>141</v>
      </c>
      <c r="E7" s="1" t="s">
        <v>141</v>
      </c>
      <c r="F7" s="1" t="s">
        <v>140</v>
      </c>
    </row>
    <row r="8" spans="1:6" x14ac:dyDescent="0.4">
      <c r="B8" s="1" t="s">
        <v>86</v>
      </c>
      <c r="C8" s="1" t="s">
        <v>132</v>
      </c>
      <c r="D8" s="1" t="s">
        <v>135</v>
      </c>
      <c r="E8" s="1" t="s">
        <v>135</v>
      </c>
      <c r="F8" s="1" t="s">
        <v>139</v>
      </c>
    </row>
    <row r="9" spans="1:6" x14ac:dyDescent="0.4">
      <c r="B9" s="1" t="s">
        <v>85</v>
      </c>
      <c r="C9" s="1" t="s">
        <v>132</v>
      </c>
      <c r="D9" s="1" t="s">
        <v>136</v>
      </c>
      <c r="E9" s="1" t="s">
        <v>136</v>
      </c>
      <c r="F9" s="1" t="s">
        <v>139</v>
      </c>
    </row>
    <row r="10" spans="1:6" x14ac:dyDescent="0.4">
      <c r="B10" s="1" t="s">
        <v>94</v>
      </c>
      <c r="C10" s="1" t="s">
        <v>132</v>
      </c>
      <c r="D10" s="1" t="s">
        <v>135</v>
      </c>
      <c r="E10" s="1" t="s">
        <v>135</v>
      </c>
      <c r="F10" s="1" t="s">
        <v>139</v>
      </c>
    </row>
    <row r="11" spans="1:6" s="6" customFormat="1" x14ac:dyDescent="0.4">
      <c r="A11" s="6">
        <v>2</v>
      </c>
      <c r="B11" s="6" t="s">
        <v>137</v>
      </c>
      <c r="C11" s="97" t="s">
        <v>133</v>
      </c>
      <c r="D11" s="97" t="s">
        <v>146</v>
      </c>
      <c r="E11" s="97"/>
    </row>
    <row r="12" spans="1:6" x14ac:dyDescent="0.4">
      <c r="B12" s="1" t="s">
        <v>137</v>
      </c>
      <c r="C12" s="1" t="s">
        <v>142</v>
      </c>
      <c r="D12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ລາຍງານ</vt:lpstr>
      <vt:lpstr>ໜ້າລາຍງານຂົນສົ່ງ</vt:lpstr>
      <vt:lpstr>ໃບບິນຂົນສົ່ງ</vt:lpstr>
      <vt:lpstr>ໃບບິນອອກລົດ</vt:lpstr>
      <vt:lpstr>ໜ້າວຽກ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la</dc:creator>
  <cp:lastModifiedBy>la la</cp:lastModifiedBy>
  <dcterms:created xsi:type="dcterms:W3CDTF">2026-08-24T07:19:51Z</dcterms:created>
  <dcterms:modified xsi:type="dcterms:W3CDTF">2026-08-28T08:10:53Z</dcterms:modified>
</cp:coreProperties>
</file>