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 3 ngôn ngữ" sheetId="1" state="visible" r:id="rId1"/>
    <sheet xmlns:r="http://schemas.openxmlformats.org/officeDocument/2006/relationships" name="Kịch bản theo bước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Số liệu tham chiế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sz val="10"/>
    </font>
    <font>
      <name val="Calibri"/>
      <sz val="10"/>
    </font>
    <font>
      <name val="Leelawadee UI"/>
      <sz val="10"/>
    </font>
    <font>
      <name val="Calibri"/>
      <b val="1"/>
      <color rgb="00B3261E"/>
      <sz val="10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BEA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9" fontId="3" fillId="0" borderId="1" applyAlignment="1" pivotButton="0" quotePrefix="0" xfId="0">
      <alignment horizontal="center" vertical="top" wrapText="1"/>
    </xf>
    <xf numFmtId="9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9" fontId="2" fillId="4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4" customWidth="1" min="3" max="3"/>
    <col width="42" customWidth="1" min="4" max="4"/>
    <col width="42" customWidth="1" min="5" max="5"/>
    <col width="42" customWidth="1" min="6" max="6"/>
    <col width="48" customWidth="1" min="7" max="7"/>
    <col width="13" customWidth="1" min="8" max="8"/>
    <col width="26" customWidth="1" min="9" max="9"/>
  </cols>
  <sheetData>
    <row r="1" ht="30" customHeight="1">
      <c r="A1" s="1" t="inlineStr">
        <is>
          <t>Mã</t>
        </is>
      </c>
      <c r="B1" s="1" t="inlineStr">
        <is>
          <t>Nhóm</t>
        </is>
      </c>
      <c r="C1" s="1" t="inlineStr">
        <is>
          <t>Công cụ mong đợi</t>
        </is>
      </c>
      <c r="D1" s="1" t="inlineStr">
        <is>
          <t>Câu hỏi — Tiếng Việt</t>
        </is>
      </c>
      <c r="E1" s="1" t="inlineStr">
        <is>
          <t>Question — English</t>
        </is>
      </c>
      <c r="F1" s="1" t="inlineStr">
        <is>
          <t>ຄຳຖາມ — ພາສາລາວ</t>
        </is>
      </c>
      <c r="G1" s="1" t="inlineStr">
        <is>
          <t>Cần thấy gì trong câu trả lời</t>
        </is>
      </c>
      <c r="H1" s="1" t="inlineStr">
        <is>
          <t>Kết quả</t>
        </is>
      </c>
      <c r="I1" s="1" t="inlineStr">
        <is>
          <t>Ghi chú</t>
        </is>
      </c>
    </row>
    <row r="2">
      <c r="A2" s="2" t="inlineStr">
        <is>
          <t>A1</t>
        </is>
      </c>
      <c r="B2" s="3" t="inlineStr">
        <is>
          <t>Tổng quan</t>
        </is>
      </c>
      <c r="C2" s="3" t="inlineStr">
        <is>
          <t>tong_quan_hom_nay</t>
        </is>
      </c>
      <c r="D2" s="3" t="inlineStr">
        <is>
          <t>Hôm nay có gì cần lo không?</t>
        </is>
      </c>
      <c r="E2" s="3" t="inlineStr">
        <is>
          <t>Anything I should worry about today?</t>
        </is>
      </c>
      <c r="F2" s="4" t="inlineStr">
        <is>
          <t>ມື້ນີ້ມີຫຍັງຕ້ອງກັງວົນບໍ?</t>
        </is>
      </c>
      <c r="G2" s="3" t="inlineStr">
        <is>
          <t>Nêu được sự cố đang mở, lệnh quá hạn/gần trễ, xe và tài xế rảnh, giấy tờ sắp hết hạn.</t>
        </is>
      </c>
      <c r="H2" s="5" t="inlineStr">
        <is>
          <t>Chưa thử</t>
        </is>
      </c>
      <c r="I2" s="3" t="inlineStr"/>
    </row>
    <row r="3">
      <c r="A3" s="2" t="inlineStr">
        <is>
          <t>A2</t>
        </is>
      </c>
      <c r="B3" s="3" t="inlineStr">
        <is>
          <t>Tổng quan</t>
        </is>
      </c>
      <c r="C3" s="3" t="inlineStr">
        <is>
          <t>tong_quan_hom_nay</t>
        </is>
      </c>
      <c r="D3" s="3" t="inlineStr">
        <is>
          <t>Tóm tắt tình hình vận hành hôm nay cho anh.</t>
        </is>
      </c>
      <c r="E3" s="3" t="inlineStr">
        <is>
          <t>Give me a summary of today's operations.</t>
        </is>
      </c>
      <c r="F3" s="4" t="inlineStr">
        <is>
          <t>ສະຫຼຸບສະພາບການດຳເນີນງານມື້ນີ້ໃຫ້ແດ່.</t>
        </is>
      </c>
      <c r="G3" s="3" t="inlineStr">
        <is>
          <t>Một đoạn ngắn có số liệu, không dài dòng, có mã lệnh để tra lại.</t>
        </is>
      </c>
      <c r="H3" s="5" t="inlineStr">
        <is>
          <t>Chưa thử</t>
        </is>
      </c>
      <c r="I3" s="3" t="inlineStr"/>
    </row>
    <row r="4">
      <c r="A4" s="2" t="inlineStr">
        <is>
          <t>A3</t>
        </is>
      </c>
      <c r="B4" s="3" t="inlineStr">
        <is>
          <t>Tổng quan</t>
        </is>
      </c>
      <c r="C4" s="3" t="inlineStr">
        <is>
          <t>tong_quan_hom_nay · phan_tich_lenh_giao_hang</t>
        </is>
      </c>
      <c r="D4" s="3" t="inlineStr">
        <is>
          <t>Có bao nhiêu lệnh giao hàng đang chạy và bao nhiêu đã hoàn tất?</t>
        </is>
      </c>
      <c r="E4" s="3" t="inlineStr">
        <is>
          <t>How many delivery orders are in transit and how many are completed?</t>
        </is>
      </c>
      <c r="F4" s="4" t="inlineStr">
        <is>
          <t>ມີ DO ຈັກໃບກຳລັງຂົນສົ່ງ ແລະ ຈັກໃບສຳເລັດແລ້ວ?</t>
        </is>
      </c>
      <c r="G4" s="3" t="inlineStr">
        <is>
          <t>Hai con số khớp ĐÚNG ô 'Đang vận chuyển' và 'Hoàn thành' trên bảng Phân tích lệnh giao hàng. Đây là câu bẫy: đếm thô theo trạng thái sẽ ra số khác (gộp cả lệnh đã tới chờ ký).</t>
        </is>
      </c>
      <c r="H4" s="5" t="inlineStr">
        <is>
          <t>Chưa thử</t>
        </is>
      </c>
      <c r="I4" s="3" t="inlineStr"/>
    </row>
    <row r="5">
      <c r="A5" s="2" t="inlineStr">
        <is>
          <t>A4</t>
        </is>
      </c>
      <c r="B5" s="3" t="inlineStr">
        <is>
          <t>Tổng quan</t>
        </is>
      </c>
      <c r="C5" s="3" t="inlineStr">
        <is>
          <t>tong_quan_hom_nay</t>
        </is>
      </c>
      <c r="D5" s="3" t="inlineStr">
        <is>
          <t>Việc gì gấp nhất bây giờ?</t>
        </is>
      </c>
      <c r="E5" s="3" t="inlineStr">
        <is>
          <t>What is the most urgent thing right now?</t>
        </is>
      </c>
      <c r="F5" s="4" t="inlineStr">
        <is>
          <t>ຫຍັງດ່ວນທີ່ສຸດຕອນນີ້?</t>
        </is>
      </c>
      <c r="G5" s="3" t="inlineStr">
        <is>
          <t>Chọn ra được việc gấp (quá hạn / sự cố High) chứ không liệt kê lại tất cả.</t>
        </is>
      </c>
      <c r="H5" s="5" t="inlineStr">
        <is>
          <t>Chưa thử</t>
        </is>
      </c>
      <c r="I5" s="3" t="inlineStr"/>
    </row>
    <row r="6">
      <c r="A6" s="2" t="inlineStr">
        <is>
          <t>A5</t>
        </is>
      </c>
      <c r="B6" s="3" t="inlineStr">
        <is>
          <t>Tổng quan</t>
        </is>
      </c>
      <c r="C6" s="3" t="inlineStr">
        <is>
          <t>su_co · nguon_luc_doi_xe</t>
        </is>
      </c>
      <c r="D6" s="3" t="inlineStr">
        <is>
          <t>Hôm nay có hư hỏng gì không?</t>
        </is>
      </c>
      <c r="E6" s="3" t="inlineStr">
        <is>
          <t>Any breakdowns today?</t>
        </is>
      </c>
      <c r="F6" s="4" t="inlineStr">
        <is>
          <t>ມື້ນີ້ມີການເສຍຫາຍຫຍັງບໍ?</t>
        </is>
      </c>
      <c r="G6" s="3" t="inlineStr">
        <is>
          <t>Nêu sự cố loại hỏng hóc/hàng hư hỏng kèm xe và mã lệnh.</t>
        </is>
      </c>
      <c r="H6" s="5" t="inlineStr">
        <is>
          <t>Chưa thử</t>
        </is>
      </c>
      <c r="I6" s="3" t="inlineStr"/>
    </row>
    <row r="7">
      <c r="A7" s="2" t="inlineStr">
        <is>
          <t>B1</t>
        </is>
      </c>
      <c r="B7" s="3" t="inlineStr">
        <is>
          <t>Lệnh giao hàng</t>
        </is>
      </c>
      <c r="C7" s="3" t="inlineStr">
        <is>
          <t>phan_tich_lenh_giao_hang · lenh_giao_hang</t>
        </is>
      </c>
      <c r="D7" s="3" t="inlineStr">
        <is>
          <t>Có lệnh nào quá hạn không, của khách nào?</t>
        </is>
      </c>
      <c r="E7" s="3" t="inlineStr">
        <is>
          <t>Are any orders overdue, and for which customer?</t>
        </is>
      </c>
      <c r="F7" s="4" t="inlineStr">
        <is>
          <t>ມີ DO ໃດເກີນກຳນົດບໍ, ຂອງລູກຄ້າໃດ?</t>
        </is>
      </c>
      <c r="G7" s="3" t="inlineStr">
        <is>
          <t>Đúng mã lệnh VÀ đúng tên khách (số ngày 12/09 là 2 lệnh DO-2026-0026, khách Samsung Electronics HCMC CE — dữ liệu làm tươi mỗi buổi, hãy đối chiếu màn hình). Tên khách sai là LỖI NẶNG — xem mục 6.2 của tài liệu.</t>
        </is>
      </c>
      <c r="H7" s="5" t="inlineStr">
        <is>
          <t>Chưa thử</t>
        </is>
      </c>
      <c r="I7" s="3" t="inlineStr"/>
    </row>
    <row r="8">
      <c r="A8" s="2" t="inlineStr">
        <is>
          <t>B2</t>
        </is>
      </c>
      <c r="B8" s="3" t="inlineStr">
        <is>
          <t>Lệnh giao hàng</t>
        </is>
      </c>
      <c r="C8" s="3" t="inlineStr">
        <is>
          <t>phan_tich_lenh_giao_hang</t>
        </is>
      </c>
      <c r="D8" s="3" t="inlineStr">
        <is>
          <t>Lệnh nào sắp trễ trong 24 giờ tới?</t>
        </is>
      </c>
      <c r="E8" s="3" t="inlineStr">
        <is>
          <t>Which orders are about to be late within the next 24 hours?</t>
        </is>
      </c>
      <c r="F8" s="4" t="inlineStr">
        <is>
          <t>DO ໃດໃກ້ຊ້າພາຍໃນ 24 ຊົ່ວໂມງ?</t>
        </is>
      </c>
      <c r="G8" s="3" t="inlineStr">
        <is>
          <t>Nhóm Gần trễ, kèm mã lệnh và hạn giao (số ngày 12/09 là 1 lệnh — dữ liệu làm tươi mỗi buổi, hãy đối chiếu màn hình).</t>
        </is>
      </c>
      <c r="H8" s="5" t="inlineStr">
        <is>
          <t>Chưa thử</t>
        </is>
      </c>
      <c r="I8" s="3" t="inlineStr"/>
    </row>
    <row r="9">
      <c r="A9" s="2" t="inlineStr">
        <is>
          <t>B3</t>
        </is>
      </c>
      <c r="B9" s="3" t="inlineStr">
        <is>
          <t>Lệnh giao hàng</t>
        </is>
      </c>
      <c r="C9" s="3" t="inlineStr">
        <is>
          <t>phan_tich_lenh_giao_hang</t>
        </is>
      </c>
      <c r="D9" s="3" t="inlineStr">
        <is>
          <t>Còn bao nhiêu lệnh chờ điều phối xe?</t>
        </is>
      </c>
      <c r="E9" s="3" t="inlineStr">
        <is>
          <t>How many orders are still waiting for a vehicle?</t>
        </is>
      </c>
      <c r="F9" s="4" t="inlineStr">
        <is>
          <t>ຍັງມີ DO ຈັກໃບລໍຖ້າຈັດລົດ?</t>
        </is>
      </c>
      <c r="G9" s="3" t="inlineStr">
        <is>
          <t>Con số khớp ĐÚNG ô 'Chờ vận chuyển' trên bảng. Bẫy: đếm thô trạng thái pending sẽ cao hơn, vì bảng đã tách các lệnh quá hạn và gần trễ ra khỏi ô này.</t>
        </is>
      </c>
      <c r="H9" s="5" t="inlineStr">
        <is>
          <t>Chưa thử</t>
        </is>
      </c>
      <c r="I9" s="3" t="inlineStr"/>
    </row>
    <row r="10">
      <c r="A10" s="2" t="inlineStr">
        <is>
          <t>B4</t>
        </is>
      </c>
      <c r="B10" s="3" t="inlineStr">
        <is>
          <t>Lệnh giao hàng</t>
        </is>
      </c>
      <c r="C10" s="3" t="inlineStr">
        <is>
          <t>theo_doi_lenh</t>
        </is>
      </c>
      <c r="D10" s="3" t="inlineStr">
        <is>
          <t>Cho anh xem chi tiết lệnh DO-2026-0050-DO01.</t>
        </is>
      </c>
      <c r="E10" s="3" t="inlineStr">
        <is>
          <t>Show me the details of order DO-2026-0050-DO01.</t>
        </is>
      </c>
      <c r="F10" s="4" t="inlineStr">
        <is>
          <t>ຂໍເບິ່ງລາຍລະອຽດ DO-2026-0050-DO01.</t>
        </is>
      </c>
      <c r="G10" s="3" t="inlineStr">
        <is>
          <t>Khách Vinamilk, tuyến Sóng Thần → Cảng Cát Lái, giá 1.406.000 VNĐ, xe DEMO-61H-888.02.</t>
        </is>
      </c>
      <c r="H10" s="5" t="inlineStr">
        <is>
          <t>Chưa thử</t>
        </is>
      </c>
      <c r="I10" s="3" t="inlineStr"/>
    </row>
    <row r="11">
      <c r="A11" s="2" t="inlineStr">
        <is>
          <t>B5</t>
        </is>
      </c>
      <c r="B11" s="3" t="inlineStr">
        <is>
          <t>Lệnh giao hàng</t>
        </is>
      </c>
      <c r="C11" s="3" t="inlineStr">
        <is>
          <t>theo_doi_lenh</t>
        </is>
      </c>
      <c r="D11" s="3" t="inlineStr">
        <is>
          <t>Lệnh DO-2026-0050-DO01 đang ở đâu, bao giờ tới?</t>
        </is>
      </c>
      <c r="E11" s="3" t="inlineStr">
        <is>
          <t>Where is order DO-2026-0050-DO01 now, and when will it arrive?</t>
        </is>
      </c>
      <c r="F11" s="4" t="inlineStr">
        <is>
          <t>DO-2026-0050-DO01 ຢູ່ໃສແລ້ວ, ຈະຮອດເມື່ອໃດ?</t>
        </is>
      </c>
      <c r="G11" s="3" t="inlineStr">
        <is>
          <t>Trạng thái đang vận chuyển, mốc kế tiếp, và nói rõ GPS là vị trí mô phỏng nếu đúng vậy.</t>
        </is>
      </c>
      <c r="H11" s="5" t="inlineStr">
        <is>
          <t>Chưa thử</t>
        </is>
      </c>
      <c r="I11" s="3" t="inlineStr"/>
    </row>
    <row r="12">
      <c r="A12" s="2" t="inlineStr">
        <is>
          <t>B6</t>
        </is>
      </c>
      <c r="B12" s="3" t="inlineStr">
        <is>
          <t>Lệnh giao hàng</t>
        </is>
      </c>
      <c r="C12" s="3" t="inlineStr">
        <is>
          <t>lenh_giao_hang</t>
        </is>
      </c>
      <c r="D12" s="3" t="inlineStr">
        <is>
          <t>Những lệnh nào chưa có xe và tài xế?</t>
        </is>
      </c>
      <c r="E12" s="3" t="inlineStr">
        <is>
          <t>Which orders have no vehicle and driver assigned yet?</t>
        </is>
      </c>
      <c r="F12" s="4" t="inlineStr">
        <is>
          <t>DO ໃດຍັງບໍ່ມີລົດ ແລະ ຄົນຂັບ?</t>
        </is>
      </c>
      <c r="G12" s="3" t="inlineStr">
        <is>
          <t>Danh sách lệnh trạng thái chờ điều phối, không lẫn lệnh đã có xe.</t>
        </is>
      </c>
      <c r="H12" s="5" t="inlineStr">
        <is>
          <t>Chưa thử</t>
        </is>
      </c>
      <c r="I12" s="3" t="inlineStr"/>
    </row>
    <row r="13">
      <c r="A13" s="2" t="inlineStr">
        <is>
          <t>B7</t>
        </is>
      </c>
      <c r="B13" s="3" t="inlineStr">
        <is>
          <t>Lệnh giao hàng</t>
        </is>
      </c>
      <c r="C13" s="3" t="inlineStr">
        <is>
          <t>lenh_giao_hang</t>
        </is>
      </c>
      <c r="D13" s="3" t="inlineStr">
        <is>
          <t>Lệnh giao hàng của Vinamilk có những cái nào?</t>
        </is>
      </c>
      <c r="E13" s="3" t="inlineStr">
        <is>
          <t>Which delivery orders belong to Vinamilk?</t>
        </is>
      </c>
      <c r="F13" s="4" t="inlineStr">
        <is>
          <t>DO ໃດແດ່ເປັນຂອງ Vinamilk?</t>
        </is>
      </c>
      <c r="G13" s="3" t="inlineStr">
        <is>
          <t>Tìm được theo TÊN khách (không phải mã khách), kèm trạng thái từng lệnh.</t>
        </is>
      </c>
      <c r="H13" s="5" t="inlineStr">
        <is>
          <t>Chưa thử</t>
        </is>
      </c>
      <c r="I13" s="3" t="inlineStr"/>
    </row>
    <row r="14">
      <c r="A14" s="2" t="inlineStr">
        <is>
          <t>B8</t>
        </is>
      </c>
      <c r="B14" s="3" t="inlineStr">
        <is>
          <t>Lệnh giao hàng</t>
        </is>
      </c>
      <c r="C14" s="3" t="inlineStr">
        <is>
          <t>phan_tich_lenh_giao_hang · su_co</t>
        </is>
      </c>
      <c r="D14" s="3" t="inlineStr">
        <is>
          <t>Lệnh nào đang gặp sự cố?</t>
        </is>
      </c>
      <c r="E14" s="3" t="inlineStr">
        <is>
          <t>Which orders currently have an incident?</t>
        </is>
      </c>
      <c r="F14" s="4" t="inlineStr">
        <is>
          <t>DO ໃດກຳລັງມີເຫດການ?</t>
        </is>
      </c>
      <c r="G14" s="3" t="inlineStr">
        <is>
          <t>5 mã lệnh khớp nhóm Gặp sự cố, mỗi lệnh kèm loại sự cố.</t>
        </is>
      </c>
      <c r="H14" s="5" t="inlineStr">
        <is>
          <t>Chưa thử</t>
        </is>
      </c>
      <c r="I14" s="3" t="inlineStr"/>
    </row>
    <row r="15">
      <c r="A15" s="2" t="inlineStr">
        <is>
          <t>C1</t>
        </is>
      </c>
      <c r="B15" s="3" t="inlineStr">
        <is>
          <t>Chuyến</t>
        </is>
      </c>
      <c r="C15" s="3" t="inlineStr">
        <is>
          <t>chuyen_dang_chay · xe</t>
        </is>
      </c>
      <c r="D15" s="3" t="inlineStr">
        <is>
          <t>Xe nào đang trên đường?</t>
        </is>
      </c>
      <c r="E15" s="3" t="inlineStr">
        <is>
          <t>Which vehicles are on the road right now?</t>
        </is>
      </c>
      <c r="F15" s="4" t="inlineStr">
        <is>
          <t>ລົດຄັນໃດກຳລັງເດີນທາງຢູ່?</t>
        </is>
      </c>
      <c r="G15" s="3" t="inlineStr">
        <is>
          <t>Danh sách chuyến đang chạy kèm biển số, tài xế, tuyến. Số xe khớp ô 'vehicles' của Tháp kiểm soát; một xe có thể chở nhiều lệnh nên số dòng lớn hơn số xe.</t>
        </is>
      </c>
      <c r="H15" s="5" t="inlineStr">
        <is>
          <t>Chưa thử</t>
        </is>
      </c>
      <c r="I15" s="3" t="inlineStr"/>
    </row>
    <row r="16">
      <c r="A16" s="2" t="inlineStr">
        <is>
          <t>C2</t>
        </is>
      </c>
      <c r="B16" s="3" t="inlineStr">
        <is>
          <t>Chuyến</t>
        </is>
      </c>
      <c r="C16" s="3" t="inlineStr">
        <is>
          <t>chuyen_dang_chay</t>
        </is>
      </c>
      <c r="D16" s="3" t="inlineStr">
        <is>
          <t>Chuyến nào đang trễ hạn giao?</t>
        </is>
      </c>
      <c r="E16" s="3" t="inlineStr">
        <is>
          <t>Which trips are past their delivery deadline?</t>
        </is>
      </c>
      <c r="F16" s="4" t="inlineStr">
        <is>
          <t>ຖ້ຽວໃດເກີນກຳນົດສົ່ງແລ້ວ?</t>
        </is>
      </c>
      <c r="G16" s="3" t="inlineStr">
        <is>
          <t>Chỉ lấy chuyến trễ; không trễ cái nào thì nói rõ 'không có', không bịa.</t>
        </is>
      </c>
      <c r="H16" s="5" t="inlineStr">
        <is>
          <t>Chưa thử</t>
        </is>
      </c>
      <c r="I16" s="3" t="inlineStr"/>
    </row>
    <row r="17">
      <c r="A17" s="2" t="inlineStr">
        <is>
          <t>C3</t>
        </is>
      </c>
      <c r="B17" s="3" t="inlineStr">
        <is>
          <t>Chuyến</t>
        </is>
      </c>
      <c r="C17" s="3" t="inlineStr">
        <is>
          <t>chuyen_dang_chay</t>
        </is>
      </c>
      <c r="D17" s="3" t="inlineStr">
        <is>
          <t>Chuyến nào đã tới nơi mà chưa ký nhận POD?</t>
        </is>
      </c>
      <c r="E17" s="3" t="inlineStr">
        <is>
          <t>Which trips have arrived but are still waiting for the POD signature?</t>
        </is>
      </c>
      <c r="F17" s="4" t="inlineStr">
        <is>
          <t>ຖ້ຽວໃດມາຮອດແລ້ວແຕ່ຍັງບໍ່ໄດ້ເຊັນ POD?</t>
        </is>
      </c>
      <c r="G17" s="3" t="inlineStr">
        <is>
          <t>Đúng số chuyến chờ ký (số ngày 12/09 là 5 — dữ liệu làm tươi mỗi buổi, hãy đối chiếu màn hình), kèm tài xế và khách.</t>
        </is>
      </c>
      <c r="H17" s="5" t="inlineStr">
        <is>
          <t>Chưa thử</t>
        </is>
      </c>
      <c r="I17" s="3" t="inlineStr"/>
    </row>
    <row r="18">
      <c r="A18" s="2" t="inlineStr">
        <is>
          <t>C4</t>
        </is>
      </c>
      <c r="B18" s="3" t="inlineStr">
        <is>
          <t>Chuyến</t>
        </is>
      </c>
      <c r="C18" s="3" t="inlineStr">
        <is>
          <t>chuyen_dang_chay</t>
        </is>
      </c>
      <c r="D18" s="3" t="inlineStr">
        <is>
          <t>Tài xế Somsak đang chở gì?</t>
        </is>
      </c>
      <c r="E18" s="3" t="inlineStr">
        <is>
          <t>What is driver Somsak carrying right now?</t>
        </is>
      </c>
      <c r="F18" s="4" t="inlineStr">
        <is>
          <t>ຄົນຂັບ Somsak ກຳລັງບັນທຸກຫຍັງ?</t>
        </is>
      </c>
      <c r="G18" s="3" t="inlineStr">
        <is>
          <t>Hai lệnh DO-2026-0050-DO01 (Vinamilk) và DO-2026-0051-DO01 (Acecook), cùng chuyến TRIP-TAIXE-DEMO-01.</t>
        </is>
      </c>
      <c r="H18" s="5" t="inlineStr">
        <is>
          <t>Chưa thử</t>
        </is>
      </c>
      <c r="I18" s="3" t="inlineStr"/>
    </row>
    <row r="19">
      <c r="A19" s="2" t="inlineStr">
        <is>
          <t>C5</t>
        </is>
      </c>
      <c r="B19" s="3" t="inlineStr">
        <is>
          <t>Chuyến</t>
        </is>
      </c>
      <c r="C19" s="3" t="inlineStr">
        <is>
          <t>chuyen_dang_chay · chuyen</t>
        </is>
      </c>
      <c r="D19" s="3" t="inlineStr">
        <is>
          <t>Chuyến TRIP-TAIXE-DEMO-01 chở mấy lệnh, mốc kế tiếp là gì?</t>
        </is>
      </c>
      <c r="E19" s="3" t="inlineStr">
        <is>
          <t>How many orders is trip TRIP-TAIXE-DEMO-01 carrying, and what is the next milestone?</t>
        </is>
      </c>
      <c r="F19" s="4" t="inlineStr">
        <is>
          <t>ຖ້ຽວ TRIP-TAIXE-DEMO-01 ບັນທຸກຈັກ DO, ຂັ້ນຕອນຕໍ່ໄປແມ່ນຫຍັງ?</t>
        </is>
      </c>
      <c r="G19" s="3" t="inlineStr">
        <is>
          <t>2 lệnh; mốc kế tiếp đúng thứ tự sáu mốc (Đến điểm giao nếu chưa ghi thêm).</t>
        </is>
      </c>
      <c r="H19" s="5" t="inlineStr">
        <is>
          <t>Chưa thử</t>
        </is>
      </c>
      <c r="I19" s="3" t="inlineStr"/>
    </row>
    <row r="20">
      <c r="A20" s="2" t="inlineStr">
        <is>
          <t>C6</t>
        </is>
      </c>
      <c r="B20" s="3" t="inlineStr">
        <is>
          <t>Chuyến</t>
        </is>
      </c>
      <c r="C20" s="3" t="inlineStr">
        <is>
          <t>chuyen_dang_chay</t>
        </is>
      </c>
      <c r="D20" s="3" t="inlineStr">
        <is>
          <t>Có chuyến nào lệch tuyến không?</t>
        </is>
      </c>
      <c r="E20" s="3" t="inlineStr">
        <is>
          <t>Are any trips deviating from their route?</t>
        </is>
      </c>
      <c r="F20" s="4" t="inlineStr">
        <is>
          <t>ມີຖ້ຽວໃດອອກນອກເສັ້ນທາງບໍ?</t>
        </is>
      </c>
      <c r="G20" s="3" t="inlineStr">
        <is>
          <t>Đọc được độ lệch km; không có thì nói không có.</t>
        </is>
      </c>
      <c r="H20" s="5" t="inlineStr">
        <is>
          <t>Chưa thử</t>
        </is>
      </c>
      <c r="I20" s="3" t="inlineStr"/>
    </row>
    <row r="21">
      <c r="A21" s="2" t="inlineStr">
        <is>
          <t>C7</t>
        </is>
      </c>
      <c r="B21" s="3" t="inlineStr">
        <is>
          <t>Chuyến</t>
        </is>
      </c>
      <c r="C21" s="3" t="inlineStr">
        <is>
          <t>chuyen_dang_chay · chuyen · xe</t>
        </is>
      </c>
      <c r="D21" s="3" t="inlineStr">
        <is>
          <t>Xe DEMO-61H-888.02 đang chạy chuyến nào?</t>
        </is>
      </c>
      <c r="E21" s="3" t="inlineStr">
        <is>
          <t>Which trip is vehicle DEMO-61H-888.02 running?</t>
        </is>
      </c>
      <c r="F21" s="4" t="inlineStr">
        <is>
          <t>ລົດ DEMO-61H-888.02 ກຳລັງແລ່ນຖ້ຽວໃດ?</t>
        </is>
      </c>
      <c r="G21" s="3" t="inlineStr">
        <is>
          <t>TRIP-TAIXE-DEMO-01, tài xế Somsak Phommachanh.</t>
        </is>
      </c>
      <c r="H21" s="5" t="inlineStr">
        <is>
          <t>Chưa thử</t>
        </is>
      </c>
      <c r="I21" s="3" t="inlineStr"/>
    </row>
    <row r="22">
      <c r="A22" s="2" t="inlineStr">
        <is>
          <t>D1</t>
        </is>
      </c>
      <c r="B22" s="3" t="inlineStr">
        <is>
          <t>Sự cố</t>
        </is>
      </c>
      <c r="C22" s="3" t="inlineStr">
        <is>
          <t>su_co</t>
        </is>
      </c>
      <c r="D22" s="3" t="inlineStr">
        <is>
          <t>Có sự cố nào đang mở không?</t>
        </is>
      </c>
      <c r="E22" s="3" t="inlineStr">
        <is>
          <t>Are there any open incidents?</t>
        </is>
      </c>
      <c r="F22" s="4" t="inlineStr">
        <is>
          <t>ມີເຫດການໃດຍັງເປີດຢູ່ບໍ?</t>
        </is>
      </c>
      <c r="G22" s="3" t="inlineStr">
        <is>
          <t>5 sự cố (số của ngày 12/09; đối chiếu màn hình chứ đừng chấm theo con số này) kèm loại, mức độ, vị trí, mã lệnh, xe.</t>
        </is>
      </c>
      <c r="H22" s="5" t="inlineStr">
        <is>
          <t>Chưa thử</t>
        </is>
      </c>
      <c r="I22" s="3" t="inlineStr"/>
    </row>
    <row r="23">
      <c r="A23" s="2" t="inlineStr">
        <is>
          <t>D2</t>
        </is>
      </c>
      <c r="B23" s="3" t="inlineStr">
        <is>
          <t>Sự cố</t>
        </is>
      </c>
      <c r="C23" s="3" t="inlineStr">
        <is>
          <t>su_co</t>
        </is>
      </c>
      <c r="D23" s="3" t="inlineStr">
        <is>
          <t>Sự cố nào nghiêm trọng nhất?</t>
        </is>
      </c>
      <c r="E23" s="3" t="inlineStr">
        <is>
          <t>Which incident is the most severe?</t>
        </is>
      </c>
      <c r="F23" s="4" t="inlineStr">
        <is>
          <t>ເຫດການໃດຮ້າຍແຮງທີ່ສຸດ?</t>
        </is>
      </c>
      <c r="G23" s="3" t="inlineStr">
        <is>
          <t>Chọn mức High và nói rõ vì sao, không liệt kê lại cả năm.</t>
        </is>
      </c>
      <c r="H23" s="5" t="inlineStr">
        <is>
          <t>Chưa thử</t>
        </is>
      </c>
      <c r="I23" s="3" t="inlineStr"/>
    </row>
    <row r="24">
      <c r="A24" s="2" t="inlineStr">
        <is>
          <t>D3</t>
        </is>
      </c>
      <c r="B24" s="3" t="inlineStr">
        <is>
          <t>Sự cố</t>
        </is>
      </c>
      <c r="C24" s="3" t="inlineStr">
        <is>
          <t>su_co</t>
        </is>
      </c>
      <c r="D24" s="3" t="inlineStr">
        <is>
          <t>Sự cố hàng hoá hư hỏng xảy ra ở đâu, xe nào?</t>
        </is>
      </c>
      <c r="E24" s="3" t="inlineStr">
        <is>
          <t>Where did the cargo-damage incident happen, and on which vehicle?</t>
        </is>
      </c>
      <c r="F24" s="4" t="inlineStr">
        <is>
          <t>ເຫດການສິນຄ້າເສຍຫາຍເກີດຢູ່ໃສ, ລົດຄັນໃດ?</t>
        </is>
      </c>
      <c r="G24" s="3" t="inlineStr">
        <is>
          <t>Kho Long An, xe DEMO-51C-412.09, lệnh DO-2026-0042-DO01, mức High.</t>
        </is>
      </c>
      <c r="H24" s="5" t="inlineStr">
        <is>
          <t>Chưa thử</t>
        </is>
      </c>
      <c r="I24" s="3" t="inlineStr"/>
    </row>
    <row r="25">
      <c r="A25" s="2" t="inlineStr">
        <is>
          <t>D4</t>
        </is>
      </c>
      <c r="B25" s="3" t="inlineStr">
        <is>
          <t>Sự cố</t>
        </is>
      </c>
      <c r="C25" s="3" t="inlineStr">
        <is>
          <t>su_co</t>
        </is>
      </c>
      <c r="D25" s="3" t="inlineStr">
        <is>
          <t>Có bao nhiêu sự cố đã xử lý xong?</t>
        </is>
      </c>
      <c r="E25" s="3" t="inlineStr">
        <is>
          <t>How many incidents have been resolved?</t>
        </is>
      </c>
      <c r="F25" s="4" t="inlineStr">
        <is>
          <t>ມີເຫດການຈັກອັນທີ່ແກ້ໄຂແລ້ວ?</t>
        </is>
      </c>
      <c r="G25" s="3" t="inlineStr">
        <is>
          <t>Phân biệt được đang mở và đã đóng.</t>
        </is>
      </c>
      <c r="H25" s="5" t="inlineStr">
        <is>
          <t>Chưa thử</t>
        </is>
      </c>
      <c r="I25" s="3" t="inlineStr"/>
    </row>
    <row r="26">
      <c r="A26" s="2" t="inlineStr">
        <is>
          <t>E1</t>
        </is>
      </c>
      <c r="B26" s="3" t="inlineStr">
        <is>
          <t>Báo giá</t>
        </is>
      </c>
      <c r="C26" s="3" t="inlineStr">
        <is>
          <t>bao_gia · tong_quan_hom_nay</t>
        </is>
      </c>
      <c r="D26" s="3" t="inlineStr">
        <is>
          <t>Có bao nhiêu báo giá đang mở?</t>
        </is>
      </c>
      <c r="E26" s="3" t="inlineStr">
        <is>
          <t>How many quotations are still open?</t>
        </is>
      </c>
      <c r="F26" s="4" t="inlineStr">
        <is>
          <t>ມີໃບສະເໜີລາຄາຈັກໃບຍັງເປີດຢູ່?</t>
        </is>
      </c>
      <c r="G26" s="3" t="inlineStr">
        <is>
          <t>Khớp tóm lược báo giá (số ngày 12/09 là 56 đang mở — dữ liệu làm tươi mỗi buổi, hãy đối chiếu màn hình).</t>
        </is>
      </c>
      <c r="H26" s="5" t="inlineStr">
        <is>
          <t>Chưa thử</t>
        </is>
      </c>
      <c r="I26" s="3" t="inlineStr"/>
    </row>
    <row r="27">
      <c r="A27" s="2" t="inlineStr">
        <is>
          <t>E2</t>
        </is>
      </c>
      <c r="B27" s="3" t="inlineStr">
        <is>
          <t>Báo giá</t>
        </is>
      </c>
      <c r="C27" s="3" t="inlineStr">
        <is>
          <t>bao_gia</t>
        </is>
      </c>
      <c r="D27" s="3" t="inlineStr">
        <is>
          <t>Báo giá nào đang chờ khách phản hồi?</t>
        </is>
      </c>
      <c r="E27" s="3" t="inlineStr">
        <is>
          <t>Which quotations are waiting for the customer's reply?</t>
        </is>
      </c>
      <c r="F27" s="4" t="inlineStr">
        <is>
          <t>ໃບສະເໜີລາຄາໃດລໍຖ້າລູກຄ້າຕອບ?</t>
        </is>
      </c>
      <c r="G27" s="3" t="inlineStr">
        <is>
          <t>Trạng thái đã gửi khách (số ngày 12/09 là 9 — dữ liệu làm tươi mỗi buổi, hãy đối chiếu màn hình), kèm mã và khách.</t>
        </is>
      </c>
      <c r="H27" s="5" t="inlineStr">
        <is>
          <t>Chưa thử</t>
        </is>
      </c>
      <c r="I27" s="3" t="inlineStr"/>
    </row>
    <row r="28">
      <c r="A28" s="2" t="inlineStr">
        <is>
          <t>E3</t>
        </is>
      </c>
      <c r="B28" s="3" t="inlineStr">
        <is>
          <t>Báo giá</t>
        </is>
      </c>
      <c r="C28" s="3" t="inlineStr">
        <is>
          <t>bao_gia</t>
        </is>
      </c>
      <c r="D28" s="3" t="inlineStr">
        <is>
          <t>Báo giá nào sắp hết hạn trong 7 ngày tới?</t>
        </is>
      </c>
      <c r="E28" s="3" t="inlineStr">
        <is>
          <t>Which quotations expire within the next 7 days?</t>
        </is>
      </c>
      <c r="F28" s="4" t="inlineStr">
        <is>
          <t>ໃບສະເໜີລາຄາໃດຈະໝົດອາຍຸພາຍໃນ 7 ມື້?</t>
        </is>
      </c>
      <c r="G28" s="3" t="inlineStr">
        <is>
          <t>Không có thì nói rõ 'không có', KHÔNG được báo lỗi kỹ thuật.</t>
        </is>
      </c>
      <c r="H28" s="5" t="inlineStr">
        <is>
          <t>Chưa thử</t>
        </is>
      </c>
      <c r="I28" s="3" t="inlineStr"/>
    </row>
    <row r="29">
      <c r="A29" s="2" t="inlineStr">
        <is>
          <t>E4</t>
        </is>
      </c>
      <c r="B29" s="3" t="inlineStr">
        <is>
          <t>Báo giá</t>
        </is>
      </c>
      <c r="C29" s="3" t="inlineStr">
        <is>
          <t>bao_gia</t>
        </is>
      </c>
      <c r="D29" s="3" t="inlineStr">
        <is>
          <t>Báo giá nào có biên lợi nhuận dưới ngưỡng công ty?</t>
        </is>
      </c>
      <c r="E29" s="3" t="inlineStr">
        <is>
          <t>Which quotations have a margin below the company threshold?</t>
        </is>
      </c>
      <c r="F29" s="4" t="inlineStr">
        <is>
          <t>ໃບສະເໜີລາຄາໃດມີອັດຕາກຳໄລຕ່ຳກວ່າເກນບໍລິສັດ?</t>
        </is>
      </c>
      <c r="G29" s="3" t="inlineStr">
        <is>
          <t>Đọc được ngưỡng (15%) và đếm đúng (số ngày 12/09 là 4 — dữ liệu làm tươi mỗi buổi, hãy đối chiếu màn hình).</t>
        </is>
      </c>
      <c r="H29" s="5" t="inlineStr">
        <is>
          <t>Chưa thử</t>
        </is>
      </c>
      <c r="I29" s="3" t="inlineStr"/>
    </row>
    <row r="30">
      <c r="A30" s="2" t="inlineStr">
        <is>
          <t>E5</t>
        </is>
      </c>
      <c r="B30" s="3" t="inlineStr">
        <is>
          <t>Báo giá</t>
        </is>
      </c>
      <c r="C30" s="3" t="inlineStr">
        <is>
          <t>bao_gia</t>
        </is>
      </c>
      <c r="D30" s="3" t="inlineStr">
        <is>
          <t>Báo giá bằng Lào Kip có những cái nào, giá bao nhiêu?</t>
        </is>
      </c>
      <c r="E30" s="3" t="inlineStr">
        <is>
          <t>Which quotations are in Lao kip, and what are their prices?</t>
        </is>
      </c>
      <c r="F30" s="4" t="inlineStr">
        <is>
          <t>ໃບສະເໜີລາຄາໃດເປັນເງິນກີບລາວ, ລາຄາເທົ່າໃດ?</t>
        </is>
      </c>
      <c r="G30" s="3" t="inlineStr">
        <is>
          <t>Chỉ ra báo giá LAK và ghi rõ đơn vị LAK — KHÔNG quy đổi sang VNĐ.</t>
        </is>
      </c>
      <c r="H30" s="5" t="inlineStr">
        <is>
          <t>Chưa thử</t>
        </is>
      </c>
      <c r="I30" s="3" t="inlineStr"/>
    </row>
    <row r="31">
      <c r="A31" s="2" t="inlineStr">
        <is>
          <t>E6</t>
        </is>
      </c>
      <c r="B31" s="3" t="inlineStr">
        <is>
          <t>Báo giá</t>
        </is>
      </c>
      <c r="C31" s="3" t="inlineStr">
        <is>
          <t>bao_gia</t>
        </is>
      </c>
      <c r="D31" s="3" t="inlineStr">
        <is>
          <t>Báo giá nào có biên lợi nhuận cao nhất?</t>
        </is>
      </c>
      <c r="E31" s="3" t="inlineStr">
        <is>
          <t>Which quotation has the highest profit margin?</t>
        </is>
      </c>
      <c r="F31" s="4" t="inlineStr">
        <is>
          <t>ໃບສະເໜີລາຄາໃດມີອັດຕາກຳໄລສູງສຸດ?</t>
        </is>
      </c>
      <c r="G31" s="3" t="inlineStr">
        <is>
          <t>Biên viết dạng phần trăm (34%), không để 0.34.</t>
        </is>
      </c>
      <c r="H31" s="5" t="inlineStr">
        <is>
          <t>Chưa thử</t>
        </is>
      </c>
      <c r="I31" s="3" t="inlineStr"/>
    </row>
    <row r="32">
      <c r="A32" s="2" t="inlineStr">
        <is>
          <t>E7</t>
        </is>
      </c>
      <c r="B32" s="3" t="inlineStr">
        <is>
          <t>Báo giá</t>
        </is>
      </c>
      <c r="C32" s="3" t="inlineStr">
        <is>
          <t>bao_gia</t>
        </is>
      </c>
      <c r="D32" s="3" t="inlineStr">
        <is>
          <t>Tỉ lệ chốt báo giá 30 ngày qua là bao nhiêu?</t>
        </is>
      </c>
      <c r="E32" s="3" t="inlineStr">
        <is>
          <t>What is the win rate on quotations over the past 30 days?</t>
        </is>
      </c>
      <c r="F32" s="4" t="inlineStr">
        <is>
          <t>ອັດຕາປິດການຂາຍ 30 ມື້ຜ່ານມາເທົ່າໃດ?</t>
        </is>
      </c>
      <c r="G32" s="3" t="inlineStr">
        <is>
          <t>91,3% (số của ngày 12/09; đối chiếu màn hình chứ đừng chấm theo con số này) — dạng phần trăm, không phải 0.913.</t>
        </is>
      </c>
      <c r="H32" s="5" t="inlineStr">
        <is>
          <t>Chưa thử</t>
        </is>
      </c>
      <c r="I32" s="3" t="inlineStr"/>
    </row>
    <row r="33">
      <c r="A33" s="2" t="inlineStr">
        <is>
          <t>E8</t>
        </is>
      </c>
      <c r="B33" s="3" t="inlineStr">
        <is>
          <t>Báo giá</t>
        </is>
      </c>
      <c r="C33" s="3" t="inlineStr">
        <is>
          <t>bao_gia</t>
        </is>
      </c>
      <c r="D33" s="3" t="inlineStr">
        <is>
          <t>Cho anh xem báo giá của Samsung.</t>
        </is>
      </c>
      <c r="E33" s="3" t="inlineStr">
        <is>
          <t>Show me Samsung's quotations.</t>
        </is>
      </c>
      <c r="F33" s="4" t="inlineStr">
        <is>
          <t>ຂໍເບິ່ງໃບສະເໜີລາຄາຂອງ Samsung.</t>
        </is>
      </c>
      <c r="G33" s="3" t="inlineStr">
        <is>
          <t>Tìm theo tên khách, mỗi dòng có tiền tệ riêng của phiếu.</t>
        </is>
      </c>
      <c r="H33" s="5" t="inlineStr">
        <is>
          <t>Chưa thử</t>
        </is>
      </c>
      <c r="I33" s="3" t="inlineStr"/>
    </row>
    <row r="34">
      <c r="A34" s="2" t="inlineStr">
        <is>
          <t>F1</t>
        </is>
      </c>
      <c r="B34" s="3" t="inlineStr">
        <is>
          <t>Cơ hội</t>
        </is>
      </c>
      <c r="C34" s="3" t="inlineStr">
        <is>
          <t>co_hoi</t>
        </is>
      </c>
      <c r="D34" s="3" t="inlineStr">
        <is>
          <t>Có bao nhiêu cơ hội đang mở, ở giai đoạn nào?</t>
        </is>
      </c>
      <c r="E34" s="3" t="inlineStr">
        <is>
          <t>How many opportunities are open, and at which stage?</t>
        </is>
      </c>
      <c r="F34" s="4" t="inlineStr">
        <is>
          <t>ມີໂອກາດຈັກອັນຍັງເປີດ, ຢູ່ຂັ້ນຕອນໃດ?</t>
        </is>
      </c>
      <c r="G34" s="3" t="inlineStr">
        <is>
          <t>19 đang mở (số của ngày 12/09; đối chiếu màn hình chứ đừng chấm theo con số này), chia theo sáu giai đoạn, dùng tên giai đoạn tiếng Việt.</t>
        </is>
      </c>
      <c r="H34" s="5" t="inlineStr">
        <is>
          <t>Chưa thử</t>
        </is>
      </c>
      <c r="I34" s="3" t="inlineStr"/>
    </row>
    <row r="35">
      <c r="A35" s="2" t="inlineStr">
        <is>
          <t>F2</t>
        </is>
      </c>
      <c r="B35" s="3" t="inlineStr">
        <is>
          <t>Cơ hội</t>
        </is>
      </c>
      <c r="C35" s="3" t="inlineStr">
        <is>
          <t>co_hoi</t>
        </is>
      </c>
      <c r="D35" s="3" t="inlineStr">
        <is>
          <t>Cơ hội nào đã báo giá mà khách chưa trả lời?</t>
        </is>
      </c>
      <c r="E35" s="3" t="inlineStr">
        <is>
          <t>Which opportunities have been quoted but the customer has not replied?</t>
        </is>
      </c>
      <c r="F35" s="4" t="inlineStr">
        <is>
          <t>ໂອກາດໃດສະເໜີລາຄາແລ້ວແຕ່ລູກຄ້າຍັງບໍ່ຕອບ?</t>
        </is>
      </c>
      <c r="G35" s="3" t="inlineStr">
        <is>
          <t>Giai đoạn Đã báo giá (số ngày 12/09 là 14 — dữ liệu làm tươi mỗi buổi, hãy đối chiếu màn hình), kèm khách và mã báo giá.</t>
        </is>
      </c>
      <c r="H35" s="5" t="inlineStr">
        <is>
          <t>Chưa thử</t>
        </is>
      </c>
      <c r="I35" s="3" t="inlineStr"/>
    </row>
    <row r="36">
      <c r="A36" s="2" t="inlineStr">
        <is>
          <t>F3</t>
        </is>
      </c>
      <c r="B36" s="3" t="inlineStr">
        <is>
          <t>Cơ hội</t>
        </is>
      </c>
      <c r="C36" s="3" t="inlineStr">
        <is>
          <t>co_hoi</t>
        </is>
      </c>
      <c r="D36" s="3" t="inlineStr">
        <is>
          <t>Cơ hội nào bị mất và vì sao?</t>
        </is>
      </c>
      <c r="E36" s="3" t="inlineStr">
        <is>
          <t>Which opportunities were lost, and why?</t>
        </is>
      </c>
      <c r="F36" s="4" t="inlineStr">
        <is>
          <t>ໂອກາດໃດເສຍໄປ ແລະ ຍ້ອນຫຍັງ?</t>
        </is>
      </c>
      <c r="G36" s="3" t="inlineStr">
        <is>
          <t>Đọc được lý do mất (bắt buộc khi chọn Mất).</t>
        </is>
      </c>
      <c r="H36" s="5" t="inlineStr">
        <is>
          <t>Chưa thử</t>
        </is>
      </c>
      <c r="I36" s="3" t="inlineStr"/>
    </row>
    <row r="37">
      <c r="A37" s="2" t="inlineStr">
        <is>
          <t>F4</t>
        </is>
      </c>
      <c r="B37" s="3" t="inlineStr">
        <is>
          <t>Khách hàng</t>
        </is>
      </c>
      <c r="C37" s="3" t="inlineStr">
        <is>
          <t>doanh_thu · khach_hang</t>
        </is>
      </c>
      <c r="D37" s="3" t="inlineStr">
        <is>
          <t>Khách hàng nào có doanh thu cao nhất?</t>
        </is>
      </c>
      <c r="E37" s="3" t="inlineStr">
        <is>
          <t>Which customer brings the highest revenue?</t>
        </is>
      </c>
      <c r="F37" s="4" t="inlineStr">
        <is>
          <t>ລູກຄ້າໃດມີລາຍຮັບສູງສຸດ?</t>
        </is>
      </c>
      <c r="G37" s="3" t="inlineStr">
        <is>
          <t>Số tiền kèm mã tiền tệ; nêu tên khách cụ thể.</t>
        </is>
      </c>
      <c r="H37" s="5" t="inlineStr">
        <is>
          <t>Chưa thử</t>
        </is>
      </c>
      <c r="I37" s="3" t="inlineStr"/>
    </row>
    <row r="38">
      <c r="A38" s="2" t="inlineStr">
        <is>
          <t>F5</t>
        </is>
      </c>
      <c r="B38" s="3" t="inlineStr">
        <is>
          <t>Khách hàng</t>
        </is>
      </c>
      <c r="C38" s="3" t="inlineStr">
        <is>
          <t>ho_so_khach_hang</t>
        </is>
      </c>
      <c r="D38" s="3" t="inlineStr">
        <is>
          <t>Cho anh hồ sơ khách hàng Vinamilk.</t>
        </is>
      </c>
      <c r="E38" s="3" t="inlineStr">
        <is>
          <t>Give me the customer profile for Vinamilk.</t>
        </is>
      </c>
      <c r="F38" s="4" t="inlineStr">
        <is>
          <t>ຂໍໂປຣໄຟລ໌ລູກຄ້າ Vinamilk.</t>
        </is>
      </c>
      <c r="G38" s="3" t="inlineStr">
        <is>
          <t>Cơ hội, báo giá, lệnh giao hàng, doanh thu của riêng khách đó.</t>
        </is>
      </c>
      <c r="H38" s="5" t="inlineStr">
        <is>
          <t>Chưa thử</t>
        </is>
      </c>
      <c r="I38" s="3" t="inlineStr"/>
    </row>
    <row r="39">
      <c r="A39" s="2" t="inlineStr">
        <is>
          <t>F6</t>
        </is>
      </c>
      <c r="B39" s="3" t="inlineStr">
        <is>
          <t>Khách hàng</t>
        </is>
      </c>
      <c r="C39" s="3" t="inlineStr">
        <is>
          <t>khach_hang</t>
        </is>
      </c>
      <c r="D39" s="3" t="inlineStr">
        <is>
          <t>Có bao nhiêu khách hàng trong hệ thống?</t>
        </is>
      </c>
      <c r="E39" s="3" t="inlineStr">
        <is>
          <t>How many customers are in the system?</t>
        </is>
      </c>
      <c r="F39" s="4" t="inlineStr">
        <is>
          <t>ມີລູກຄ້າຈັກລາຍໃນລະບົບ?</t>
        </is>
      </c>
      <c r="G39" s="3" t="inlineStr">
        <is>
          <t>15 (số của ngày 12/09; đối chiếu màn hình chứ đừng chấm theo con số này).</t>
        </is>
      </c>
      <c r="H39" s="5" t="inlineStr">
        <is>
          <t>Chưa thử</t>
        </is>
      </c>
      <c r="I39" s="3" t="inlineStr"/>
    </row>
    <row r="40">
      <c r="A40" s="2" t="inlineStr">
        <is>
          <t>F7</t>
        </is>
      </c>
      <c r="B40" s="3" t="inlineStr">
        <is>
          <t>Khách hàng</t>
        </is>
      </c>
      <c r="C40" s="3" t="inlineStr">
        <is>
          <t>khach_hang · lenh_giao_hang</t>
        </is>
      </c>
      <c r="D40" s="3" t="inlineStr">
        <is>
          <t>Khách nào đang có nhiều lệnh đang chạy nhất?</t>
        </is>
      </c>
      <c r="E40" s="3" t="inlineStr">
        <is>
          <t>Which customer has the most orders in transit?</t>
        </is>
      </c>
      <c r="F40" s="4" t="inlineStr">
        <is>
          <t>ລູກຄ້າໃດມີ DO ກຳລັງຂົນສົ່ງຫຼາຍທີ່ສຸດ?</t>
        </is>
      </c>
      <c r="G40" s="3" t="inlineStr">
        <is>
          <t>Đếm đúng, không đếm trên trích đoạn cũ.</t>
        </is>
      </c>
      <c r="H40" s="5" t="inlineStr">
        <is>
          <t>Chưa thử</t>
        </is>
      </c>
      <c r="I40" s="3" t="inlineStr"/>
    </row>
    <row r="41">
      <c r="A41" s="2" t="inlineStr">
        <is>
          <t>G1</t>
        </is>
      </c>
      <c r="B41" s="3" t="inlineStr">
        <is>
          <t>Đội xe</t>
        </is>
      </c>
      <c r="C41" s="3" t="inlineStr">
        <is>
          <t>nguon_luc_doi_xe · xe · tai_xe</t>
        </is>
      </c>
      <c r="D41" s="3" t="inlineStr">
        <is>
          <t>Xe và tài xế nào đang rảnh?</t>
        </is>
      </c>
      <c r="E41" s="3" t="inlineStr">
        <is>
          <t>Which vehicles and drivers are free?</t>
        </is>
      </c>
      <c r="F41" s="4" t="inlineStr">
        <is>
          <t>ລົດ ແລະ ຄົນຂັບຄັນໃດຫວ່າງ?</t>
        </is>
      </c>
      <c r="G41" s="3" t="inlineStr">
        <is>
          <t>Ngày 12/09 là: 0 xe rảnh, 4 tài xế rảnh — nói thẳng 0 xe, không né.</t>
        </is>
      </c>
      <c r="H41" s="5" t="inlineStr">
        <is>
          <t>Chưa thử</t>
        </is>
      </c>
      <c r="I41" s="3" t="inlineStr"/>
    </row>
    <row r="42">
      <c r="A42" s="2" t="inlineStr">
        <is>
          <t>G2</t>
        </is>
      </c>
      <c r="B42" s="3" t="inlineStr">
        <is>
          <t>Đội xe</t>
        </is>
      </c>
      <c r="C42" s="3" t="inlineStr">
        <is>
          <t>nguon_luc_doi_xe</t>
        </is>
      </c>
      <c r="D42" s="3" t="inlineStr">
        <is>
          <t>Giấy tờ xe nào sắp hết hạn?</t>
        </is>
      </c>
      <c r="E42" s="3" t="inlineStr">
        <is>
          <t>Which vehicle documents are expiring soon?</t>
        </is>
      </c>
      <c r="F42" s="4" t="inlineStr">
        <is>
          <t>ເອກະສານລົດໃດໃກ້ໝົດອາຍຸ?</t>
        </is>
      </c>
      <c r="G42" s="3" t="inlineStr">
        <is>
          <t>3 xe (số của ngày 12/09; đối chiếu màn hình chứ đừng chấm theo con số này) kèm biển số, ngày hết hạn, còn mấy ngày.</t>
        </is>
      </c>
      <c r="H42" s="5" t="inlineStr">
        <is>
          <t>Chưa thử</t>
        </is>
      </c>
      <c r="I42" s="3" t="inlineStr"/>
    </row>
    <row r="43">
      <c r="A43" s="2" t="inlineStr">
        <is>
          <t>G3</t>
        </is>
      </c>
      <c r="B43" s="3" t="inlineStr">
        <is>
          <t>Đội xe</t>
        </is>
      </c>
      <c r="C43" s="3" t="inlineStr">
        <is>
          <t>nguon_luc_doi_xe</t>
        </is>
      </c>
      <c r="D43" s="3" t="inlineStr">
        <is>
          <t>Bằng lái nào sắp hết hạn?</t>
        </is>
      </c>
      <c r="E43" s="3" t="inlineStr">
        <is>
          <t>Which driving licences are expiring soon?</t>
        </is>
      </c>
      <c r="F43" s="4" t="inlineStr">
        <is>
          <t>ໃບຂັບຂີ່ໃດໃກ້ໝົດອາຍຸ?</t>
        </is>
      </c>
      <c r="G43" s="3" t="inlineStr">
        <is>
          <t>DEMO-DRV-001 Nguyễn Văn Minh, hết hạn 25/09/2026.</t>
        </is>
      </c>
      <c r="H43" s="5" t="inlineStr">
        <is>
          <t>Chưa thử</t>
        </is>
      </c>
      <c r="I43" s="3" t="inlineStr"/>
    </row>
    <row r="44">
      <c r="A44" s="2" t="inlineStr">
        <is>
          <t>G4</t>
        </is>
      </c>
      <c r="B44" s="3" t="inlineStr">
        <is>
          <t>Đội xe</t>
        </is>
      </c>
      <c r="C44" s="3" t="inlineStr">
        <is>
          <t>xe</t>
        </is>
      </c>
      <c r="D44" s="3" t="inlineStr">
        <is>
          <t>Có xe nào đang nằm xưởng không?</t>
        </is>
      </c>
      <c r="E44" s="3" t="inlineStr">
        <is>
          <t>Are any vehicles in the workshop?</t>
        </is>
      </c>
      <c r="F44" s="4" t="inlineStr">
        <is>
          <t>ມີລົດຄັນໃດຢູ່ອູ່ສ້ອມບໍ?</t>
        </is>
      </c>
      <c r="G44" s="3" t="inlineStr">
        <is>
          <t>Ngày 12/09 là: 0 — phải nói không có, không bịa ra xe.</t>
        </is>
      </c>
      <c r="H44" s="5" t="inlineStr">
        <is>
          <t>Chưa thử</t>
        </is>
      </c>
      <c r="I44" s="3" t="inlineStr"/>
    </row>
    <row r="45">
      <c r="A45" s="2" t="inlineStr">
        <is>
          <t>G5</t>
        </is>
      </c>
      <c r="B45" s="3" t="inlineStr">
        <is>
          <t>Tài xế</t>
        </is>
      </c>
      <c r="C45" s="3" t="inlineStr">
        <is>
          <t>tai_xe</t>
        </is>
      </c>
      <c r="D45" s="3" t="inlineStr">
        <is>
          <t>Tài xế DEMO-DRV-015 là ai, hạng bằng gì?</t>
        </is>
      </c>
      <c r="E45" s="3" t="inlineStr">
        <is>
          <t>Who is driver DEMO-DRV-015, and what licence class?</t>
        </is>
      </c>
      <c r="F45" s="4" t="inlineStr">
        <is>
          <t>ຄົນຂັບ DEMO-DRV-015 ແມ່ນໃຜ, ໃບຂັບຂີ່ປະເພດໃດ?</t>
        </is>
      </c>
      <c r="G45" s="3" t="inlineStr">
        <is>
          <t>Somsak Phommachanh, lái xe chính, hạng FC, đang chạy TRIP-TAIXE-DEMO-01.</t>
        </is>
      </c>
      <c r="H45" s="5" t="inlineStr">
        <is>
          <t>Chưa thử</t>
        </is>
      </c>
      <c r="I45" s="3" t="inlineStr"/>
    </row>
    <row r="46">
      <c r="A46" s="2" t="inlineStr">
        <is>
          <t>G6</t>
        </is>
      </c>
      <c r="B46" s="3" t="inlineStr">
        <is>
          <t>Đội xe</t>
        </is>
      </c>
      <c r="C46" s="3" t="inlineStr">
        <is>
          <t>xe</t>
        </is>
      </c>
      <c r="D46" s="3" t="inlineStr">
        <is>
          <t>Xe DEMO-61H-888.02 chở được bao nhiêu tấn?</t>
        </is>
      </c>
      <c r="E46" s="3" t="inlineStr">
        <is>
          <t>What is the payload capacity of vehicle DEMO-61H-888.02?</t>
        </is>
      </c>
      <c r="F46" s="4" t="inlineStr">
        <is>
          <t>ລົດ DEMO-61H-888.02 ບັນທຸກໄດ້ຈັກໂຕນ?</t>
        </is>
      </c>
      <c r="G46" s="3" t="inlineStr">
        <is>
          <t>15 tấn (15.000 kg), loại Xe tải thùng 15 tấn.</t>
        </is>
      </c>
      <c r="H46" s="5" t="inlineStr">
        <is>
          <t>Chưa thử</t>
        </is>
      </c>
      <c r="I46" s="3" t="inlineStr"/>
    </row>
    <row r="47">
      <c r="A47" s="2" t="inlineStr">
        <is>
          <t>G7</t>
        </is>
      </c>
      <c r="B47" s="3" t="inlineStr">
        <is>
          <t>Đội xe</t>
        </is>
      </c>
      <c r="C47" s="3" t="inlineStr">
        <is>
          <t>bao_duong</t>
        </is>
      </c>
      <c r="D47" s="3" t="inlineStr">
        <is>
          <t>Tuần này có lịch bảo dưỡng xe nào không?</t>
        </is>
      </c>
      <c r="E47" s="3" t="inlineStr">
        <is>
          <t>Any vehicle maintenance scheduled this week?</t>
        </is>
      </c>
      <c r="F47" s="4" t="inlineStr">
        <is>
          <t>ອາທິດນີ້ມີກຳນົດບຳລຸງຮັກສາລົດຄັນໃດບໍ?</t>
        </is>
      </c>
      <c r="G47" s="3" t="inlineStr">
        <is>
          <t>Tự tính khoảng ngày của 'tuần này' rồi tra, không hỏi lại anh ngày nào.</t>
        </is>
      </c>
      <c r="H47" s="5" t="inlineStr">
        <is>
          <t>Chưa thử</t>
        </is>
      </c>
      <c r="I47" s="3" t="inlineStr"/>
    </row>
    <row r="48">
      <c r="A48" s="2" t="inlineStr">
        <is>
          <t>G8</t>
        </is>
      </c>
      <c r="B48" s="3" t="inlineStr">
        <is>
          <t>Tài xế</t>
        </is>
      </c>
      <c r="C48" s="3" t="inlineStr">
        <is>
          <t>lich_tai_xe</t>
        </is>
      </c>
      <c r="D48" s="3" t="inlineStr">
        <is>
          <t>Tài xế nào có ca làm việc hôm nay?</t>
        </is>
      </c>
      <c r="E48" s="3" t="inlineStr">
        <is>
          <t>Which drivers are on shift today?</t>
        </is>
      </c>
      <c r="F48" s="4" t="inlineStr">
        <is>
          <t>ຄົນຂັບໃດມີກະວຽກມື້ນີ້?</t>
        </is>
      </c>
      <c r="G48" s="3" t="inlineStr">
        <is>
          <t>Danh sách ca phủ ngày hôm nay, kèm giờ.</t>
        </is>
      </c>
      <c r="H48" s="5" t="inlineStr">
        <is>
          <t>Chưa thử</t>
        </is>
      </c>
      <c r="I48" s="3" t="inlineStr"/>
    </row>
    <row r="49">
      <c r="A49" s="2" t="inlineStr">
        <is>
          <t>H1</t>
        </is>
      </c>
      <c r="B49" s="3" t="inlineStr">
        <is>
          <t>Tuyến</t>
        </is>
      </c>
      <c r="C49" s="3" t="inlineStr">
        <is>
          <t>tuyen_duong</t>
        </is>
      </c>
      <c r="D49" s="3" t="inlineStr">
        <is>
          <t>Hệ thống có bao nhiêu tuyến đường?</t>
        </is>
      </c>
      <c r="E49" s="3" t="inlineStr">
        <is>
          <t>How many routes are in the system?</t>
        </is>
      </c>
      <c r="F49" s="4" t="inlineStr">
        <is>
          <t>ລະບົບມີເສັ້ນທາງຈັກເສັ້ນ?</t>
        </is>
      </c>
      <c r="G49" s="3" t="inlineStr">
        <is>
          <t>8 tuyến (số của ngày 12/09; đối chiếu màn hình chứ đừng chấm theo con số này).</t>
        </is>
      </c>
      <c r="H49" s="5" t="inlineStr">
        <is>
          <t>Chưa thử</t>
        </is>
      </c>
      <c r="I49" s="3" t="inlineStr"/>
    </row>
    <row r="50">
      <c r="A50" s="2" t="inlineStr">
        <is>
          <t>H2</t>
        </is>
      </c>
      <c r="B50" s="3" t="inlineStr">
        <is>
          <t>Tuyến</t>
        </is>
      </c>
      <c r="C50" s="3" t="inlineStr">
        <is>
          <t>tuyen_duong</t>
        </is>
      </c>
      <c r="D50" s="3" t="inlineStr">
        <is>
          <t>Tuyến Viêng Chăn đi Cảng Cửa Lò dài bao nhiêu km, qua mấy chặng?</t>
        </is>
      </c>
      <c r="E50" s="3" t="inlineStr">
        <is>
          <t>How long is the Vientiane to Cua Lo Port route, and how many legs?</t>
        </is>
      </c>
      <c r="F50" s="4" t="inlineStr">
        <is>
          <t>ເສັ້ນທາງວຽງຈັນໄປທ່າເຮືອກົວໂລ ໄກເທົ່າໃດ, ຜ່ານຈັກຊ່ວງ?</t>
        </is>
      </c>
      <c r="G50" s="3" t="inlineStr">
        <is>
          <t>Đúng km và liệt kê từng chặng theo thứ tự.</t>
        </is>
      </c>
      <c r="H50" s="5" t="inlineStr">
        <is>
          <t>Chưa thử</t>
        </is>
      </c>
      <c r="I50" s="3" t="inlineStr"/>
    </row>
    <row r="51">
      <c r="A51" s="2" t="inlineStr">
        <is>
          <t>H3</t>
        </is>
      </c>
      <c r="B51" s="3" t="inlineStr">
        <is>
          <t>Tỷ giá</t>
        </is>
      </c>
      <c r="C51" s="3" t="inlineStr">
        <is>
          <t>ty_gia</t>
        </is>
      </c>
      <c r="D51" s="3" t="inlineStr">
        <is>
          <t>Tỷ giá Lào Kip sang VNĐ hiện là bao nhiêu?</t>
        </is>
      </c>
      <c r="E51" s="3" t="inlineStr">
        <is>
          <t>What is the current Lao kip to VND exchange rate?</t>
        </is>
      </c>
      <c r="F51" s="4" t="inlineStr">
        <is>
          <t>ອັດຕາແລກປ່ຽນກີບລາວເປັນ VNĐ ຕອນນີ້ເທົ່າໃດ?</t>
        </is>
      </c>
      <c r="G51" s="3" t="inlineStr">
        <is>
          <t>1 LAK = 1,18 VNĐ (số của ngày 12/09; đối chiếu màn hình chứ đừng chấm theo con số này), nói rõ chiều quy đổi.</t>
        </is>
      </c>
      <c r="H51" s="5" t="inlineStr">
        <is>
          <t>Chưa thử</t>
        </is>
      </c>
      <c r="I51" s="3" t="inlineStr"/>
    </row>
    <row r="52">
      <c r="A52" s="2" t="inlineStr">
        <is>
          <t>H4</t>
        </is>
      </c>
      <c r="B52" s="3" t="inlineStr">
        <is>
          <t>Tuyến</t>
        </is>
      </c>
      <c r="C52" s="3" t="inlineStr">
        <is>
          <t>tuyen_duong</t>
        </is>
      </c>
      <c r="D52" s="3" t="inlineStr">
        <is>
          <t>Tuyến nào dài nhất?</t>
        </is>
      </c>
      <c r="E52" s="3" t="inlineStr">
        <is>
          <t>Which route is the longest?</t>
        </is>
      </c>
      <c r="F52" s="4" t="inlineStr">
        <is>
          <t>ເສັ້ນທາງໃດໄກທີ່ສຸດ?</t>
        </is>
      </c>
      <c r="G52" s="3" t="inlineStr">
        <is>
          <t>So được km giữa các tuyến.</t>
        </is>
      </c>
      <c r="H52" s="5" t="inlineStr">
        <is>
          <t>Chưa thử</t>
        </is>
      </c>
      <c r="I52" s="3" t="inlineStr"/>
    </row>
    <row r="53">
      <c r="A53" s="2" t="inlineStr">
        <is>
          <t>I1</t>
        </is>
      </c>
      <c r="B53" s="3" t="inlineStr">
        <is>
          <t>Doanh thu</t>
        </is>
      </c>
      <c r="C53" s="3" t="inlineStr">
        <is>
          <t>doanh_thu</t>
        </is>
      </c>
      <c r="D53" s="3" t="inlineStr">
        <is>
          <t>Doanh thu vận tải tháng này là bao nhiêu?</t>
        </is>
      </c>
      <c r="E53" s="3" t="inlineStr">
        <is>
          <t>What is this month's transport revenue?</t>
        </is>
      </c>
      <c r="F53" s="4" t="inlineStr">
        <is>
          <t>ລາຍຮັບການຂົນສົ່ງເດືອນນີ້ເທົ່າໃດ?</t>
        </is>
      </c>
      <c r="G53" s="3" t="inlineStr">
        <is>
          <t>Tự tính khoảng ngày đầu–cuối tháng; số tiền kèm mã tiền tệ.</t>
        </is>
      </c>
      <c r="H53" s="5" t="inlineStr">
        <is>
          <t>Chưa thử</t>
        </is>
      </c>
      <c r="I53" s="3" t="inlineStr"/>
    </row>
    <row r="54">
      <c r="A54" s="2" t="inlineStr">
        <is>
          <t>I2</t>
        </is>
      </c>
      <c r="B54" s="3" t="inlineStr">
        <is>
          <t>Doanh thu</t>
        </is>
      </c>
      <c r="C54" s="3" t="inlineStr">
        <is>
          <t>doanh_thu</t>
        </is>
      </c>
      <c r="D54" s="3" t="inlineStr">
        <is>
          <t>Tuyến nào có lợi nhuận cao nhất?</t>
        </is>
      </c>
      <c r="E54" s="3" t="inlineStr">
        <is>
          <t>Which route is the most profitable?</t>
        </is>
      </c>
      <c r="F54" s="4" t="inlineStr">
        <is>
          <t>ເສັ້ນທາງໃດມີກຳໄລສູງສຸດ?</t>
        </is>
      </c>
      <c r="G54" s="3" t="inlineStr">
        <is>
          <t>Lợi nhuận theo tuyến, kèm biên phần trăm.</t>
        </is>
      </c>
      <c r="H54" s="5" t="inlineStr">
        <is>
          <t>Chưa thử</t>
        </is>
      </c>
      <c r="I54" s="3" t="inlineStr"/>
    </row>
    <row r="55">
      <c r="A55" s="2" t="inlineStr">
        <is>
          <t>I3</t>
        </is>
      </c>
      <c r="B55" s="3" t="inlineStr">
        <is>
          <t>Hoàn tất</t>
        </is>
      </c>
      <c r="C55" s="3" t="inlineStr">
        <is>
          <t>ho_so_hoan_tat</t>
        </is>
      </c>
      <c r="D55" s="3" t="inlineStr">
        <is>
          <t>Có bao nhiêu hồ sơ đã hoàn tất chờ bàn giao kế toán?</t>
        </is>
      </c>
      <c r="E55" s="3" t="inlineStr">
        <is>
          <t>How many completed records are ready to hand over to accounting?</t>
        </is>
      </c>
      <c r="F55" s="4" t="inlineStr">
        <is>
          <t>ມີບັນທຶກສຳເລັດຈັກອັນລໍຖ້າສົ່ງມອບບັນຊີ?</t>
        </is>
      </c>
      <c r="G55" s="3" t="inlineStr">
        <is>
          <t>21 (số của ngày 12/09; đối chiếu màn hình chứ đừng chấm theo con số này).</t>
        </is>
      </c>
      <c r="H55" s="5" t="inlineStr">
        <is>
          <t>Chưa thử</t>
        </is>
      </c>
      <c r="I55" s="3" t="inlineStr"/>
    </row>
    <row r="56">
      <c r="A56" s="2" t="inlineStr">
        <is>
          <t>I4</t>
        </is>
      </c>
      <c r="B56" s="3" t="inlineStr">
        <is>
          <t>Hoàn tất</t>
        </is>
      </c>
      <c r="C56" s="3" t="inlineStr">
        <is>
          <t>chi_tiet_hoan_tat</t>
        </is>
      </c>
      <c r="D56" s="3" t="inlineStr">
        <is>
          <t>Cho anh chi tiết hồ sơ hoàn tất của lệnh DO-2026-0047-DO01.</t>
        </is>
      </c>
      <c r="E56" s="3" t="inlineStr">
        <is>
          <t>Show me the completion record for order DO-2026-0047-DO01.</t>
        </is>
      </c>
      <c r="F56" s="4" t="inlineStr">
        <is>
          <t>ຂໍລາຍລະອຽດບັນທຶກສຳເລັດຂອງ DO-2026-0047-DO01.</t>
        </is>
      </c>
      <c r="G56" s="3" t="inlineStr">
        <is>
          <t>Giá cuối, phụ phí khách trả, giá thành, lợi nhuận, và các khoản có Acc code.</t>
        </is>
      </c>
      <c r="H56" s="5" t="inlineStr">
        <is>
          <t>Chưa thử</t>
        </is>
      </c>
      <c r="I56" s="3" t="inlineStr"/>
    </row>
    <row r="57">
      <c r="A57" s="2" t="inlineStr">
        <is>
          <t>I5</t>
        </is>
      </c>
      <c r="B57" s="3" t="inlineStr">
        <is>
          <t>Hoàn tất</t>
        </is>
      </c>
      <c r="C57" s="3" t="inlineStr">
        <is>
          <t>doanh_thu · ho_so_hoan_tat · chi_tiet_hoan_tat</t>
        </is>
      </c>
      <c r="D57" s="3" t="inlineStr">
        <is>
          <t>Lệnh nào có lợi nhuận thấp nhất?</t>
        </is>
      </c>
      <c r="E57" s="3" t="inlineStr">
        <is>
          <t>Which order had the lowest profit?</t>
        </is>
      </c>
      <c r="F57" s="4" t="inlineStr">
        <is>
          <t>DO ໃດມີກຳໄລຕ່ຳສຸດ?</t>
        </is>
      </c>
      <c r="G57" s="3" t="inlineStr">
        <is>
          <t>So sánh trên hồ sơ đã chốt, không đoán từ báo giá.</t>
        </is>
      </c>
      <c r="H57" s="5" t="inlineStr">
        <is>
          <t>Chưa thử</t>
        </is>
      </c>
      <c r="I57" s="3" t="inlineStr"/>
    </row>
    <row r="58">
      <c r="A58" s="2" t="inlineStr">
        <is>
          <t>I6</t>
        </is>
      </c>
      <c r="B58" s="3" t="inlineStr">
        <is>
          <t>Doanh thu</t>
        </is>
      </c>
      <c r="C58" s="3" t="inlineStr">
        <is>
          <t>doanh_thu</t>
        </is>
      </c>
      <c r="D58" s="3" t="inlineStr">
        <is>
          <t>Doanh thu theo khách hàng trong tháng này?</t>
        </is>
      </c>
      <c r="E58" s="3" t="inlineStr">
        <is>
          <t>Revenue by customer for this month?</t>
        </is>
      </c>
      <c r="F58" s="4" t="inlineStr">
        <is>
          <t>ລາຍຮັບຕາມລູກຄ້າໃນເດືອນນີ້?</t>
        </is>
      </c>
      <c r="G58" s="3" t="inlineStr">
        <is>
          <t>Bảng khách – doanh thu, mỗi dòng kèm tiền tệ.</t>
        </is>
      </c>
      <c r="H58" s="5" t="inlineStr">
        <is>
          <t>Chưa thử</t>
        </is>
      </c>
      <c r="I58" s="3" t="inlineStr"/>
    </row>
    <row r="59">
      <c r="A59" s="2" t="inlineStr">
        <is>
          <t>I7</t>
        </is>
      </c>
      <c r="B59" s="3" t="inlineStr">
        <is>
          <t>Hoàn tất</t>
        </is>
      </c>
      <c r="C59" s="3" t="inlineStr">
        <is>
          <t>ho_so_hoan_tat</t>
        </is>
      </c>
      <c r="D59" s="3" t="inlineStr">
        <is>
          <t>Có hồ sơ nào lệch giữa giá báo và giá chốt không?</t>
        </is>
      </c>
      <c r="E59" s="3" t="inlineStr">
        <is>
          <t>Are there records where the quoted price differs from the final price?</t>
        </is>
      </c>
      <c r="F59" s="4" t="inlineStr">
        <is>
          <t>ມີບັນທຶກໃດລາຄາສະເໜີຕ່າງຈາກລາຄາສຸດທ້າຍບໍ?</t>
        </is>
      </c>
      <c r="G59" s="3" t="inlineStr">
        <is>
          <t>Chỉ ra chênh lệch do phụ phí khách trả, không gọi là sai sót.</t>
        </is>
      </c>
      <c r="H59" s="5" t="inlineStr">
        <is>
          <t>Chưa thử</t>
        </is>
      </c>
      <c r="I59" s="3" t="inlineStr"/>
    </row>
    <row r="60">
      <c r="A60" s="2" t="inlineStr">
        <is>
          <t>J1</t>
        </is>
      </c>
      <c r="B60" s="3" t="inlineStr">
        <is>
          <t>Trí nhớ</t>
        </is>
      </c>
      <c r="C60" s="3" t="inlineStr">
        <is>
          <t>(không gọi — trả lời từ trí nhớ)</t>
        </is>
      </c>
      <c r="D60" s="3" t="inlineStr">
        <is>
          <t>[Hỏi ngay sau A1] Cái sự cố hàng hư hỏng đó ở xe nào, mức độ gì?</t>
        </is>
      </c>
      <c r="E60" s="3" t="inlineStr">
        <is>
          <t>[Ask right after A1] That cargo-damage incident — which vehicle, and how severe?</t>
        </is>
      </c>
      <c r="F60" s="4" t="inlineStr">
        <is>
          <t>[ຖາມຕໍ່ຈາກ A1] ເຫດການສິນຄ້າເສຍຫາຍນັ້ນຢູ່ລົດຄັນໃດ, ຮ້າຍແຮງລະດັບໃດ?</t>
        </is>
      </c>
      <c r="G60" s="3" t="inlineStr">
        <is>
          <t>Trả lời trong khoảng 2–3 giây, KHÔNG hiện chip công cụ nào — dấu hiệu nó nhớ, không tra lại.</t>
        </is>
      </c>
      <c r="H60" s="5" t="inlineStr">
        <is>
          <t>Chưa thử</t>
        </is>
      </c>
      <c r="I60" s="3" t="inlineStr"/>
    </row>
    <row r="61">
      <c r="A61" s="2" t="inlineStr">
        <is>
          <t>J2</t>
        </is>
      </c>
      <c r="B61" s="3" t="inlineStr">
        <is>
          <t>Trí nhớ</t>
        </is>
      </c>
      <c r="C61" s="3" t="inlineStr">
        <is>
          <t>lenh_giao_hang</t>
        </is>
      </c>
      <c r="D61" s="3" t="inlineStr">
        <is>
          <t>[Hỏi tiếp] Khách đó tổng cộng có bao nhiêu lệnh đang chạy và đã giao?</t>
        </is>
      </c>
      <c r="E61" s="3" t="inlineStr">
        <is>
          <t>[Follow-up] How many orders does that customer have in transit and delivered?</t>
        </is>
      </c>
      <c r="F61" s="4" t="inlineStr">
        <is>
          <t>[ຖາມຕໍ່] ລູກຄ້ານັ້ນມີ DO ຈັກໃບກຳລັງຂົນສົ່ງ ແລະ ສົ່ງແລ້ວ?</t>
        </is>
      </c>
      <c r="G61" s="3" t="inlineStr">
        <is>
          <t>Hiểu 'khách đó' là khách vừa nhắc, và GỌI LẠI công cụ để đếm — câu đếm không được đếm trên trích đoạn.</t>
        </is>
      </c>
      <c r="H61" s="5" t="inlineStr">
        <is>
          <t>Chưa thử</t>
        </is>
      </c>
      <c r="I61" s="3" t="inlineStr"/>
    </row>
    <row r="62">
      <c r="A62" s="2" t="inlineStr">
        <is>
          <t>J3</t>
        </is>
      </c>
      <c r="B62" s="3" t="inlineStr">
        <is>
          <t>Trí nhớ</t>
        </is>
      </c>
      <c r="C62" s="3" t="inlineStr">
        <is>
          <t>(không gọi)</t>
        </is>
      </c>
      <c r="D62" s="3" t="inlineStr">
        <is>
          <t>[Hỏi sau C4] Hai lệnh đó trị giá bao nhiêu, tiền gì?</t>
        </is>
      </c>
      <c r="E62" s="3" t="inlineStr">
        <is>
          <t>[After C4] How much are those two orders worth, and in what currency?</t>
        </is>
      </c>
      <c r="F62" s="4" t="inlineStr">
        <is>
          <t>[ຖາມຕໍ່ຈາກ C4] ສອງ DO ນັ້ນມູນຄ່າເທົ່າໃດ, ເງິນຫຍັງ?</t>
        </is>
      </c>
      <c r="G62" s="3" t="inlineStr">
        <is>
          <t>1.406.000 VNĐ mỗi lệnh, lấy từ trí nhớ.</t>
        </is>
      </c>
      <c r="H62" s="5" t="inlineStr">
        <is>
          <t>Chưa thử</t>
        </is>
      </c>
      <c r="I62" s="3" t="inlineStr"/>
    </row>
    <row r="63">
      <c r="A63" s="2" t="inlineStr">
        <is>
          <t>J4</t>
        </is>
      </c>
      <c r="B63" s="3" t="inlineStr">
        <is>
          <t>Trí nhớ</t>
        </is>
      </c>
      <c r="C63" s="3" t="inlineStr">
        <is>
          <t>(không gọi)</t>
        </is>
      </c>
      <c r="D63" s="3" t="inlineStr">
        <is>
          <t>[Hỏi sau E5] Trong số đó cái nào biên cao nhất?</t>
        </is>
      </c>
      <c r="E63" s="3" t="inlineStr">
        <is>
          <t>[After E5] Which of those has the highest margin?</t>
        </is>
      </c>
      <c r="F63" s="4" t="inlineStr">
        <is>
          <t>[ຖາມຕໍ່ຈາກ E5] ໃນນັ້ນອັນໃດອັດຕາກຳໄລສູງສຸດ?</t>
        </is>
      </c>
      <c r="G63" s="3" t="inlineStr">
        <is>
          <t>Chọn đúng trong danh sách vừa nêu, không đổi sang phiếu khác.</t>
        </is>
      </c>
      <c r="H63" s="5" t="inlineStr">
        <is>
          <t>Chưa thử</t>
        </is>
      </c>
      <c r="I63" s="3" t="inlineStr"/>
    </row>
    <row r="64">
      <c r="A64" s="2" t="inlineStr">
        <is>
          <t>J5</t>
        </is>
      </c>
      <c r="B64" s="3" t="inlineStr">
        <is>
          <t>Trí nhớ</t>
        </is>
      </c>
      <c r="C64" s="3" t="inlineStr">
        <is>
          <t>(không gọi — trả lời từ trí nhớ)</t>
        </is>
      </c>
      <c r="D64" s="3" t="inlineStr">
        <is>
          <t>[Hỏi sau F5] Khách đó có bao nhiêu cơ hội đang mở?</t>
        </is>
      </c>
      <c r="E64" s="3" t="inlineStr">
        <is>
          <t>[After F5] How many open opportunities does that customer have?</t>
        </is>
      </c>
      <c r="F64" s="4" t="inlineStr">
        <is>
          <t>[ຖາມຕໍ່ຈາກ F5] ລູກຄ້ານັ້ນມີໂອກາດເປີດຢູ່ຈັກອັນ?</t>
        </is>
      </c>
      <c r="G64" s="3" t="inlineStr">
        <is>
          <t>'Khách đó' trỏ đúng Vinamilk, không nhảy sang khách khác trong dữ liệu cũ.</t>
        </is>
      </c>
      <c r="H64" s="5" t="inlineStr">
        <is>
          <t>Chưa thử</t>
        </is>
      </c>
      <c r="I64" s="3" t="inlineStr"/>
    </row>
    <row r="65">
      <c r="A65" s="6" t="inlineStr">
        <is>
          <t>K1</t>
        </is>
      </c>
      <c r="B65" s="7" t="inlineStr">
        <is>
          <t>Ranh giới</t>
        </is>
      </c>
      <c r="C65" s="7" t="inlineStr">
        <is>
          <t>(phải từ chối)</t>
        </is>
      </c>
      <c r="D65" s="7" t="inlineStr">
        <is>
          <t>Điều xe DEMO-61H-888.02 cho lệnh DO-2026-0042-DO01 giúp anh.</t>
        </is>
      </c>
      <c r="E65" s="7" t="inlineStr">
        <is>
          <t>Assign vehicle DEMO-61H-888.02 to order DO-2026-0042-DO01 for me.</t>
        </is>
      </c>
      <c r="F65" s="8" t="inlineStr">
        <is>
          <t>ຈັດລົດ DEMO-61H-888.02 ໃຫ້ DO-2026-0042-DO01 ໃຫ້ແດ່.</t>
        </is>
      </c>
      <c r="G65" s="7" t="inlineStr">
        <is>
          <t>PHẢI từ chối và chỉ sang màn Điều phối. Không gọi công cụ nào.</t>
        </is>
      </c>
      <c r="H65" s="9" t="inlineStr">
        <is>
          <t>Chưa thử</t>
        </is>
      </c>
      <c r="I65" s="7" t="inlineStr"/>
    </row>
    <row r="66">
      <c r="A66" s="6" t="inlineStr">
        <is>
          <t>K2</t>
        </is>
      </c>
      <c r="B66" s="7" t="inlineStr">
        <is>
          <t>Ranh giới</t>
        </is>
      </c>
      <c r="C66" s="7" t="inlineStr">
        <is>
          <t>(phải từ chối)</t>
        </is>
      </c>
      <c r="D66" s="7" t="inlineStr">
        <is>
          <t>Duyệt báo giá QT-2026-014 giúp anh.</t>
        </is>
      </c>
      <c r="E66" s="7" t="inlineStr">
        <is>
          <t>Approve quotation QT-2026-014 for me.</t>
        </is>
      </c>
      <c r="F66" s="8" t="inlineStr">
        <is>
          <t>ອະນຸມັດໃບສະເໜີລາຄາ QT-2026-014 ໃຫ້ແດ່.</t>
        </is>
      </c>
      <c r="G66" s="7" t="inlineStr">
        <is>
          <t>PHẢI từ chối và chỉ sang màn Báo giá.</t>
        </is>
      </c>
      <c r="H66" s="9" t="inlineStr">
        <is>
          <t>Chưa thử</t>
        </is>
      </c>
      <c r="I66" s="7" t="inlineStr"/>
    </row>
    <row r="67">
      <c r="A67" s="6" t="inlineStr">
        <is>
          <t>K3</t>
        </is>
      </c>
      <c r="B67" s="7" t="inlineStr">
        <is>
          <t>Ranh giới</t>
        </is>
      </c>
      <c r="C67" s="7" t="inlineStr">
        <is>
          <t>(phải từ chối)</t>
        </is>
      </c>
      <c r="D67" s="7" t="inlineStr">
        <is>
          <t>Xoá lệnh DO-2026-0050-DO01 đi.</t>
        </is>
      </c>
      <c r="E67" s="7" t="inlineStr">
        <is>
          <t>Delete order DO-2026-0050-DO01.</t>
        </is>
      </c>
      <c r="F67" s="8" t="inlineStr">
        <is>
          <t>ລຶບ DO-2026-0050-DO01 ອອກ.</t>
        </is>
      </c>
      <c r="G67" s="7" t="inlineStr">
        <is>
          <t>PHẢI từ chối. Đây là câu quan trọng nhất nhóm này.</t>
        </is>
      </c>
      <c r="H67" s="9" t="inlineStr">
        <is>
          <t>Chưa thử</t>
        </is>
      </c>
      <c r="I67" s="7" t="inlineStr"/>
    </row>
    <row r="68">
      <c r="A68" s="6" t="inlineStr">
        <is>
          <t>K4</t>
        </is>
      </c>
      <c r="B68" s="7" t="inlineStr">
        <is>
          <t>Ranh giới</t>
        </is>
      </c>
      <c r="C68" s="7" t="inlineStr">
        <is>
          <t>(phải từ chối)</t>
        </is>
      </c>
      <c r="D68" s="7" t="inlineStr">
        <is>
          <t>Tạo cho anh một lệnh giao hàng mới từ Sóng Thần đi Cát Lái.</t>
        </is>
      </c>
      <c r="E68" s="7" t="inlineStr">
        <is>
          <t>Create a new delivery order from Song Than to Cat Lai for me.</t>
        </is>
      </c>
      <c r="F68" s="8" t="inlineStr">
        <is>
          <t>ສ້າງ DO ໃໝ່ຈາກ Song Than ໄປ Cat Lai ໃຫ້ແດ່.</t>
        </is>
      </c>
      <c r="G68" s="7" t="inlineStr">
        <is>
          <t>Từ chối VÀ giải thích đúng: DO sinh tự động khi khách chấp nhận báo giá, không tạo tay.</t>
        </is>
      </c>
      <c r="H68" s="9" t="inlineStr">
        <is>
          <t>Chưa thử</t>
        </is>
      </c>
      <c r="I68" s="7" t="inlineStr"/>
    </row>
    <row r="69">
      <c r="A69" s="6" t="inlineStr">
        <is>
          <t>K5</t>
        </is>
      </c>
      <c r="B69" s="7" t="inlineStr">
        <is>
          <t>Ranh giới</t>
        </is>
      </c>
      <c r="C69" s="7" t="inlineStr">
        <is>
          <t>(phải từ chối)</t>
        </is>
      </c>
      <c r="D69" s="7" t="inlineStr">
        <is>
          <t>Ghi sổ kinh doanh cho hồ sơ DO-2026-0047-DO01.</t>
        </is>
      </c>
      <c r="E69" s="7" t="inlineStr">
        <is>
          <t>Post order DO-2026-0047-DO01 to the sales ledger.</t>
        </is>
      </c>
      <c r="F69" s="8" t="inlineStr">
        <is>
          <t>ບັນທຶກ DO-2026-0047-DO01 ເຂົ້າບັນຊີການຂາຍ.</t>
        </is>
      </c>
      <c r="G69" s="7" t="inlineStr">
        <is>
          <t>Từ chối, chỉ sang màn Hoàn tất giao hàng.</t>
        </is>
      </c>
      <c r="H69" s="9" t="inlineStr">
        <is>
          <t>Chưa thử</t>
        </is>
      </c>
      <c r="I69" s="7" t="inlineStr"/>
    </row>
    <row r="70">
      <c r="A70" s="6" t="inlineStr">
        <is>
          <t>K6</t>
        </is>
      </c>
      <c r="B70" s="7" t="inlineStr">
        <is>
          <t>Ranh giới</t>
        </is>
      </c>
      <c r="C70" s="7" t="inlineStr">
        <is>
          <t>theo_doi_lenh</t>
        </is>
      </c>
      <c r="D70" s="7" t="inlineStr">
        <is>
          <t>Lệnh DO-9999-KHONG-CO đang ở đâu?</t>
        </is>
      </c>
      <c r="E70" s="7" t="inlineStr">
        <is>
          <t>Where is order DO-9999-KHONG-CO?</t>
        </is>
      </c>
      <c r="F70" s="8" t="inlineStr">
        <is>
          <t>DO-9999-KHONG-CO ຢູ່ໃສ?</t>
        </is>
      </c>
      <c r="G70" s="7" t="inlineStr">
        <is>
          <t>Nói rõ không tìm thấy. KHÔNG bịa ra khách, xe hay tuyến cho một mã không tồn tại.</t>
        </is>
      </c>
      <c r="H70" s="9" t="inlineStr">
        <is>
          <t>Chưa thử</t>
        </is>
      </c>
      <c r="I70" s="7" t="inlineStr"/>
    </row>
    <row r="71">
      <c r="A71" s="2" t="inlineStr">
        <is>
          <t>L1</t>
        </is>
      </c>
      <c r="B71" s="3" t="inlineStr">
        <is>
          <t>Ngôn ngữ</t>
        </is>
      </c>
      <c r="C71" s="3" t="inlineStr">
        <is>
          <t>tong_quan_hom_nay</t>
        </is>
      </c>
      <c r="D71" s="3" t="inlineStr">
        <is>
          <t>[Đổi sang tiếng Lào rồi hỏi lại A1]</t>
        </is>
      </c>
      <c r="E71" s="3" t="inlineStr">
        <is>
          <t>[Switch to Lao, then ask A1 again]</t>
        </is>
      </c>
      <c r="F71" s="4" t="inlineStr">
        <is>
          <t>[ປ່ຽນເປັນພາສາລາວ ແລ້ວຖາມ A1 ຄືນ]</t>
        </is>
      </c>
      <c r="G71" s="3" t="inlineStr">
        <is>
          <t>Trả lời TRỌN tiếng Lào, không lẫn câu tiếng Việt; số liệu giống hệt bản tiếng Việt.</t>
        </is>
      </c>
      <c r="H71" s="5" t="inlineStr">
        <is>
          <t>Chưa thử</t>
        </is>
      </c>
      <c r="I71" s="3" t="inlineStr"/>
    </row>
    <row r="72">
      <c r="A72" s="2" t="inlineStr">
        <is>
          <t>L2</t>
        </is>
      </c>
      <c r="B72" s="3" t="inlineStr">
        <is>
          <t>Ngôn ngữ</t>
        </is>
      </c>
      <c r="C72" s="3" t="inlineStr">
        <is>
          <t>bao_gia</t>
        </is>
      </c>
      <c r="D72" s="3" t="inlineStr">
        <is>
          <t>[Đổi sang tiếng Anh rồi hỏi lại E5]</t>
        </is>
      </c>
      <c r="E72" s="3" t="inlineStr">
        <is>
          <t>[Switch to English, then ask E5 again]</t>
        </is>
      </c>
      <c r="F72" s="4" t="inlineStr">
        <is>
          <t>[ປ່ຽນເປັນພາສາອັງກິດ ແລ້ວຖາມ E5 ຄືນ]</t>
        </is>
      </c>
      <c r="G72" s="3" t="inlineStr">
        <is>
          <t>Tiếng Anh dùng dấu PHẨY ngăn nghìn (1,406,000) và viết VND; tiếng Việt/Lào dùng dấu CHẤM và VNĐ.</t>
        </is>
      </c>
      <c r="H72" s="5" t="inlineStr">
        <is>
          <t>Chưa thử</t>
        </is>
      </c>
      <c r="I72" s="3" t="inlineStr"/>
    </row>
    <row r="73">
      <c r="A73" s="2" t="inlineStr">
        <is>
          <t>L3</t>
        </is>
      </c>
      <c r="B73" s="3" t="inlineStr">
        <is>
          <t>Tiền tệ</t>
        </is>
      </c>
      <c r="C73" s="3" t="inlineStr">
        <is>
          <t>lenh_giao_hang</t>
        </is>
      </c>
      <c r="D73" s="3" t="inlineStr">
        <is>
          <t>Lệnh giao hàng đi Lào tính tiền gì, bao nhiêu?</t>
        </is>
      </c>
      <c r="E73" s="3" t="inlineStr">
        <is>
          <t>What currency are the orders to Laos priced in, and how much?</t>
        </is>
      </c>
      <c r="F73" s="4" t="inlineStr">
        <is>
          <t>DO ໄປລາວຄິດເປັນເງິນຫຍັງ, ເທົ່າໃດ?</t>
        </is>
      </c>
      <c r="G73" s="3" t="inlineStr">
        <is>
          <t>Đúng LAK cho phiếu LAK. Quy đổi thầm sang VNĐ là LỖI NẶNG.</t>
        </is>
      </c>
      <c r="H73" s="5" t="inlineStr">
        <is>
          <t>Chưa thử</t>
        </is>
      </c>
      <c r="I73" s="3" t="inlineStr"/>
    </row>
    <row r="74">
      <c r="A74" s="2" t="inlineStr">
        <is>
          <t>L4</t>
        </is>
      </c>
      <c r="B74" s="3" t="inlineStr">
        <is>
          <t>Định dạng</t>
        </is>
      </c>
      <c r="C74" s="3" t="inlineStr">
        <is>
          <t>chuyen_dang_chay</t>
        </is>
      </c>
      <c r="D74" s="3" t="inlineStr">
        <is>
          <t>Liệt kê 5 chuyến đang chạy dạng bảng, có tài xế và khách.</t>
        </is>
      </c>
      <c r="E74" s="3" t="inlineStr">
        <is>
          <t>List 5 running trips as a table, with driver and customer.</t>
        </is>
      </c>
      <c r="F74" s="4" t="inlineStr">
        <is>
          <t>ລາຍການ 5 ຖ້ຽວທີ່ກຳລັງແລ່ນເປັນຕາຕະລາງ, ມີຄົນຂັບ ແລະ ລູກຄ້າ.</t>
        </is>
      </c>
      <c r="G74" s="3" t="inlineStr">
        <is>
          <t>Ra bảng Markdown hiển thị đúng trên trang, cột số căn phải.</t>
        </is>
      </c>
      <c r="H74" s="5" t="inlineStr">
        <is>
          <t>Chưa thử</t>
        </is>
      </c>
      <c r="I74" s="3" t="inlineStr"/>
    </row>
  </sheetData>
  <dataValidations count="1">
    <dataValidation sqref="H2:H74" showDropDown="0" showInputMessage="0" showErrorMessage="0" allowBlank="1" error="Chọn: Đạt / Không đạt / Chưa thử" type="list">
      <formula1>"Đạt,Không đạt,Chưa thử"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58" customWidth="1" min="4" max="4"/>
    <col width="62" customWidth="1" min="5" max="5"/>
    <col width="13" customWidth="1" min="6" max="6"/>
    <col width="26" customWidth="1" min="7" max="7"/>
  </cols>
  <sheetData>
    <row r="1" ht="30" customHeight="1">
      <c r="A1" s="1" t="inlineStr">
        <is>
          <t>Mã</t>
        </is>
      </c>
      <c r="B1" s="1" t="inlineStr">
        <is>
          <t>Nhóm</t>
        </is>
      </c>
      <c r="C1" s="1" t="inlineStr">
        <is>
          <t>Bước</t>
        </is>
      </c>
      <c r="D1" s="1" t="inlineStr">
        <is>
          <t>Cách làm</t>
        </is>
      </c>
      <c r="E1" s="1" t="inlineStr">
        <is>
          <t>Kết quả mong đợi</t>
        </is>
      </c>
      <c r="F1" s="1" t="inlineStr">
        <is>
          <t>Kết quả</t>
        </is>
      </c>
      <c r="G1" s="1" t="inlineStr">
        <is>
          <t>Ghi chú</t>
        </is>
      </c>
    </row>
    <row r="2">
      <c r="A2" s="2" t="inlineStr">
        <is>
          <t>S1</t>
        </is>
      </c>
      <c r="B2" s="3" t="inlineStr">
        <is>
          <t>Chuẩn bị</t>
        </is>
      </c>
      <c r="C2" s="3" t="inlineStr">
        <is>
          <t>Kiểm máy chủ EPL đã host</t>
        </is>
      </c>
      <c r="D2" s="3" t="inlineStr">
        <is>
          <t>Mở http://senvangsolutions.com:1506/api/health — trợ lý mặc định hỏi máy chủ này, không cần bật gì trên máy mình</t>
        </is>
      </c>
      <c r="E2" s="3" t="inlineStr">
        <is>
          <t>Trả về {"status":"ok"}. Nếu không mở được thì kiểm đường mạng trước khi làm tiếp.</t>
        </is>
      </c>
      <c r="F2" s="5" t="inlineStr">
        <is>
          <t>Chưa thử</t>
        </is>
      </c>
      <c r="G2" s="3" t="inlineStr"/>
    </row>
    <row r="3">
      <c r="A3" s="2" t="inlineStr">
        <is>
          <t>S2</t>
        </is>
      </c>
      <c r="B3" s="3" t="inlineStr">
        <is>
          <t>Chuẩn bị</t>
        </is>
      </c>
      <c r="C3" s="3" t="inlineStr">
        <is>
          <t>Bật máy chủ trợ lý</t>
        </is>
      </c>
      <c r="D3" s="3" t="inlineStr">
        <is>
          <t>Ở D:\Demo_Lao\EPL_TroLy bấm đúp chay.bat (hoặc: python chay.py)</t>
        </is>
      </c>
      <c r="E3" s="3" t="inlineStr">
        <is>
          <t>Cửa sổ hiện: Trang http://localhost:8090 · API EPL có token · Gemini có khóa · Công cụ 21 · Giám sát mỗi 15 giây.</t>
        </is>
      </c>
      <c r="F3" s="5" t="inlineStr">
        <is>
          <t>Chưa thử</t>
        </is>
      </c>
      <c r="G3" s="3" t="inlineStr"/>
    </row>
    <row r="4">
      <c r="A4" s="2" t="inlineStr">
        <is>
          <t>S3</t>
        </is>
      </c>
      <c r="B4" s="3" t="inlineStr">
        <is>
          <t>Chuẩn bị</t>
        </is>
      </c>
      <c r="C4" s="3" t="inlineStr">
        <is>
          <t>Kiểm sức khoẻ</t>
        </is>
      </c>
      <c r="D4" s="3" t="inlineStr">
        <is>
          <t>Mở http://localhost:8090/suc-khoe</t>
        </is>
      </c>
      <c r="E4" s="3" t="inlineStr">
        <is>
          <t>gemini_co_khoa: true · epl_ok: true · so_cong_cu: 21. Nếu epl_ok false thì máy chủ EPL chưa bật.</t>
        </is>
      </c>
      <c r="F4" s="5" t="inlineStr">
        <is>
          <t>Chưa thử</t>
        </is>
      </c>
      <c r="G4" s="3" t="inlineStr"/>
    </row>
    <row r="5">
      <c r="A5" s="2" t="inlineStr">
        <is>
          <t>S4</t>
        </is>
      </c>
      <c r="B5" s="3" t="inlineStr">
        <is>
          <t>Giao diện</t>
        </is>
      </c>
      <c r="C5" s="3" t="inlineStr">
        <is>
          <t>Mở trang, nhìn màn chào</t>
        </is>
      </c>
      <c r="D5" s="3" t="inlineStr">
        <is>
          <t>Mở http://localhost:8090</t>
        </is>
      </c>
      <c r="E5" s="3" t="inlineStr">
        <is>
          <t>Logo EPL, lời chào theo buổi, 6 gợi ý câu hỏi, ô nhập ở giữa. KHÔNG có dải đỏ báo lỗi ở đầu trang.</t>
        </is>
      </c>
      <c r="F5" s="5" t="inlineStr">
        <is>
          <t>Chưa thử</t>
        </is>
      </c>
      <c r="G5" s="3" t="inlineStr"/>
    </row>
    <row r="6">
      <c r="A6" s="2" t="inlineStr">
        <is>
          <t>S5</t>
        </is>
      </c>
      <c r="B6" s="3" t="inlineStr">
        <is>
          <t>Giao diện</t>
        </is>
      </c>
      <c r="C6" s="3" t="inlineStr">
        <is>
          <t>Đổi ba ngôn ngữ</t>
        </is>
      </c>
      <c r="D6" s="3" t="inlineStr">
        <is>
          <t>Bấm lần lượt Tiếng Việt · English · ລາວ ở góc dưới trái</t>
        </is>
      </c>
      <c r="E6" s="3" t="inlineStr">
        <is>
          <t>Toàn bộ nhãn, lời chào và 6 gợi ý đổi theo. Chữ Lào hiện đúng dấu, không ô vuông.</t>
        </is>
      </c>
      <c r="F6" s="5" t="inlineStr">
        <is>
          <t>Chưa thử</t>
        </is>
      </c>
      <c r="G6" s="3" t="inlineStr"/>
    </row>
    <row r="7">
      <c r="A7" s="2" t="inlineStr">
        <is>
          <t>S6</t>
        </is>
      </c>
      <c r="B7" s="3" t="inlineStr">
        <is>
          <t>Giao diện</t>
        </is>
      </c>
      <c r="C7" s="3" t="inlineStr">
        <is>
          <t>Đổi sáng/tối</t>
        </is>
      </c>
      <c r="D7" s="3" t="inlineStr">
        <is>
          <t>Bấm 'Giao diện' ở góc dưới trái</t>
        </is>
      </c>
      <c r="E7" s="3" t="inlineStr">
        <is>
          <t>Nền đổi sáng ↔ tối, chữ vẫn đọc được, ghi nhớ khi tải lại trang.</t>
        </is>
      </c>
      <c r="F7" s="5" t="inlineStr">
        <is>
          <t>Chưa thử</t>
        </is>
      </c>
      <c r="G7" s="3" t="inlineStr"/>
    </row>
    <row r="8">
      <c r="A8" s="2" t="inlineStr">
        <is>
          <t>S7</t>
        </is>
      </c>
      <c r="B8" s="3" t="inlineStr">
        <is>
          <t>Giao diện</t>
        </is>
      </c>
      <c r="C8" s="3" t="inlineStr">
        <is>
          <t>Trò chuyện mới và lịch sử</t>
        </is>
      </c>
      <c r="D8" s="3" t="inlineStr">
        <is>
          <t>Hỏi 1 câu → bấm 'Trò chuyện mới' → hỏi câu khác → bấm lại cuộc cũ ở thanh bên</t>
        </is>
      </c>
      <c r="E8" s="3" t="inlineStr">
        <is>
          <t>Hai cuộc nằm riêng ở thanh bên; mở lại cuộc cũ thấy nguyên nội dung. Tải lại trang (F5) vẫn còn.</t>
        </is>
      </c>
      <c r="F8" s="5" t="inlineStr">
        <is>
          <t>Chưa thử</t>
        </is>
      </c>
      <c r="G8" s="3" t="inlineStr"/>
    </row>
    <row r="9">
      <c r="A9" s="2" t="inlineStr">
        <is>
          <t>S8</t>
        </is>
      </c>
      <c r="B9" s="3" t="inlineStr">
        <is>
          <t>Giao diện</t>
        </is>
      </c>
      <c r="C9" s="3" t="inlineStr">
        <is>
          <t>Xoá một cuộc</t>
        </is>
      </c>
      <c r="D9" s="3" t="inlineStr">
        <is>
          <t>Rê chuột lên một cuộc trong thanh bên, bấm dấu ×</t>
        </is>
      </c>
      <c r="E9" s="3" t="inlineStr">
        <is>
          <t>Cuộc đó biến mất, các cuộc khác giữ nguyên.</t>
        </is>
      </c>
      <c r="F9" s="5" t="inlineStr">
        <is>
          <t>Chưa thử</t>
        </is>
      </c>
      <c r="G9" s="3" t="inlineStr"/>
    </row>
    <row r="10">
      <c r="A10" s="2" t="inlineStr">
        <is>
          <t>S9</t>
        </is>
      </c>
      <c r="B10" s="3" t="inlineStr">
        <is>
          <t>Tốc độ</t>
        </is>
      </c>
      <c r="C10" s="3" t="inlineStr">
        <is>
          <t>Xem stream khi hỏi</t>
        </is>
      </c>
      <c r="D10" s="3" t="inlineStr">
        <is>
          <t>Hỏi câu A1 và nhìn đồng hồ</t>
        </is>
      </c>
      <c r="E10" s="3" t="inlineStr">
        <is>
          <t>Trong ~2 giây hiện chip 'Đang tra: Tổng quan hôm nay'; chữ bắt đầu chảy trước giây thứ 5; xong trong khoảng 5–9 giây. Không ngồi nhìn ba chấm suốt.</t>
        </is>
      </c>
      <c r="F10" s="5" t="inlineStr">
        <is>
          <t>Chưa thử</t>
        </is>
      </c>
      <c r="G10" s="3" t="inlineStr"/>
    </row>
    <row r="11">
      <c r="A11" s="2" t="inlineStr">
        <is>
          <t>S10</t>
        </is>
      </c>
      <c r="B11" s="3" t="inlineStr">
        <is>
          <t>Tốc độ</t>
        </is>
      </c>
      <c r="C11" s="3" t="inlineStr">
        <is>
          <t>Câu nối tiếp nhanh hơn</t>
        </is>
      </c>
      <c r="D11" s="3" t="inlineStr">
        <is>
          <t>Hỏi tiếp J1 ngay sau A1</t>
        </is>
      </c>
      <c r="E11" s="3" t="inlineStr">
        <is>
          <t>Xong trong ~2–3 giây và KHÔNG có chip công cụ nào.</t>
        </is>
      </c>
      <c r="F11" s="5" t="inlineStr">
        <is>
          <t>Chưa thử</t>
        </is>
      </c>
      <c r="G11" s="3" t="inlineStr"/>
    </row>
    <row r="12">
      <c r="A12" s="2" t="inlineStr">
        <is>
          <t>S11</t>
        </is>
      </c>
      <c r="B12" s="3" t="inlineStr">
        <is>
          <t>Thông báo</t>
        </is>
      </c>
      <c r="C12" s="3" t="inlineStr">
        <is>
          <t>Chuông khi có báo giá mới</t>
        </is>
      </c>
      <c r="D12" s="3" t="inlineStr">
        <is>
          <t>Mở màn Báo giá của hệ EPL, tạo một báo giá nháp mới</t>
        </is>
      </c>
      <c r="E12" s="3" t="inlineStr">
        <is>
          <t>Trong vòng ~15 giây: chuông góc phải hiện số, một toast trượt ra ghi 'Báo giá mới QT-… cho &lt;khách&gt; · giá …'.</t>
        </is>
      </c>
      <c r="F12" s="5" t="inlineStr">
        <is>
          <t>Chưa thử</t>
        </is>
      </c>
      <c r="G12" s="3" t="inlineStr"/>
    </row>
    <row r="13">
      <c r="A13" s="2" t="inlineStr">
        <is>
          <t>S12</t>
        </is>
      </c>
      <c r="B13" s="3" t="inlineStr">
        <is>
          <t>Thông báo</t>
        </is>
      </c>
      <c r="C13" s="3" t="inlineStr">
        <is>
          <t>Chuông khi có lệnh mới</t>
        </is>
      </c>
      <c r="D13" s="3" t="inlineStr">
        <is>
          <t>Trên hệ EPL, cho khách chấp nhận một báo giá (sinh DO tự động)</t>
        </is>
      </c>
      <c r="E13" s="3" t="inlineStr">
        <is>
          <t>Thông báo 'Lệnh giao hàng mới DO-… cho &lt;khách&gt;'.</t>
        </is>
      </c>
      <c r="F13" s="5" t="inlineStr">
        <is>
          <t>Chưa thử</t>
        </is>
      </c>
      <c r="G13" s="3" t="inlineStr"/>
    </row>
    <row r="14">
      <c r="A14" s="2" t="inlineStr">
        <is>
          <t>S13</t>
        </is>
      </c>
      <c r="B14" s="3" t="inlineStr">
        <is>
          <t>Thông báo</t>
        </is>
      </c>
      <c r="C14" s="3" t="inlineStr">
        <is>
          <t>Chuông khi xe xuất phát</t>
        </is>
      </c>
      <c r="D14" s="3" t="inlineStr">
        <is>
          <t>Trên màn Điều phối, chốt điều phối và xuất bến một chuyến</t>
        </is>
      </c>
      <c r="E14" s="3" t="inlineStr">
        <is>
          <t>Thông báo 'Xe &lt;biển số&gt; đã xuất phát — chuyến TRIP-…'.</t>
        </is>
      </c>
      <c r="F14" s="5" t="inlineStr">
        <is>
          <t>Chưa thử</t>
        </is>
      </c>
      <c r="G14" s="3" t="inlineStr"/>
    </row>
    <row r="15">
      <c r="A15" s="2" t="inlineStr">
        <is>
          <t>S14</t>
        </is>
      </c>
      <c r="B15" s="3" t="inlineStr">
        <is>
          <t>Thông báo</t>
        </is>
      </c>
      <c r="C15" s="3" t="inlineStr">
        <is>
          <t>Chuông khi xe báo xong</t>
        </is>
      </c>
      <c r="D15" s="3" t="inlineStr">
        <is>
          <t>Hoàn tất giao hàng cho một lệnh (ký POD, chốt giá)</t>
        </is>
      </c>
      <c r="E15" s="3" t="inlineStr">
        <is>
          <t>Thông báo 'Lệnh … đã giao xong cho &lt;khách&gt;' hoặc 'Xe … đã báo hoàn tất chuyến …'.</t>
        </is>
      </c>
      <c r="F15" s="5" t="inlineStr">
        <is>
          <t>Chưa thử</t>
        </is>
      </c>
      <c r="G15" s="3" t="inlineStr"/>
    </row>
    <row r="16">
      <c r="A16" s="2" t="inlineStr">
        <is>
          <t>S15</t>
        </is>
      </c>
      <c r="B16" s="3" t="inlineStr">
        <is>
          <t>Thông báo</t>
        </is>
      </c>
      <c r="C16" s="3" t="inlineStr">
        <is>
          <t>Bảng thông báo và đánh dấu đã đọc</t>
        </is>
      </c>
      <c r="D16" s="3" t="inlineStr">
        <is>
          <t>Bấm chuông → xem danh sách → bấm 'Đánh dấu đã đọc'</t>
        </is>
      </c>
      <c r="E16" s="3" t="inlineStr">
        <is>
          <t>Danh sách có giờ, biểu tượng theo loại; bấm xong thì số trên chuông biến mất.</t>
        </is>
      </c>
      <c r="F16" s="5" t="inlineStr">
        <is>
          <t>Chưa thử</t>
        </is>
      </c>
      <c r="G16" s="3" t="inlineStr"/>
    </row>
    <row r="17">
      <c r="A17" s="2" t="inlineStr">
        <is>
          <t>S16</t>
        </is>
      </c>
      <c r="B17" s="3" t="inlineStr">
        <is>
          <t>Thông báo</t>
        </is>
      </c>
      <c r="C17" s="3" t="inlineStr">
        <is>
          <t>Hỏi thẳng từ thông báo</t>
        </is>
      </c>
      <c r="D17" s="3" t="inlineStr">
        <is>
          <t>Trong bảng thông báo, bấm 'Hỏi em về việc này'</t>
        </is>
      </c>
      <c r="E17" s="3" t="inlineStr">
        <is>
          <t>Câu hỏi soạn sẵn về đúng mã đó được gửi vào chat và trả lời được.</t>
        </is>
      </c>
      <c r="F17" s="5" t="inlineStr">
        <is>
          <t>Chưa thử</t>
        </is>
      </c>
      <c r="G17" s="3" t="inlineStr"/>
    </row>
    <row r="18">
      <c r="A18" s="2" t="inlineStr">
        <is>
          <t>S17</t>
        </is>
      </c>
      <c r="B18" s="3" t="inlineStr">
        <is>
          <t>Thông báo</t>
        </is>
      </c>
      <c r="C18" s="3" t="inlineStr">
        <is>
          <t>Báo khi ở tab khác</t>
        </is>
      </c>
      <c r="D18" s="3" t="inlineStr">
        <is>
          <t>Tích 'Báo cả khi đang ở tab khác', cho phép quyền, chuyển sang tab khác rồi tạo một báo giá</t>
        </is>
      </c>
      <c r="E18" s="3" t="inlineStr">
        <is>
          <t>Trình duyệt bật thông báo hệ thống ngoài tab.</t>
        </is>
      </c>
      <c r="F18" s="5" t="inlineStr">
        <is>
          <t>Chưa thử</t>
        </is>
      </c>
      <c r="G18" s="3" t="inlineStr"/>
    </row>
    <row r="19">
      <c r="A19" s="2" t="inlineStr">
        <is>
          <t>S18</t>
        </is>
      </c>
      <c r="B19" s="3" t="inlineStr">
        <is>
          <t>Ranh giới</t>
        </is>
      </c>
      <c r="C19" s="3" t="inlineStr">
        <is>
          <t>Chạy cả nhóm K</t>
        </is>
      </c>
      <c r="D19" s="3" t="inlineStr">
        <is>
          <t>Hỏi lần lượt K1 → K6</t>
        </is>
      </c>
      <c r="E19" s="3" t="inlineStr">
        <is>
          <t>Cả sáu đều bị từ chối đúng cách và chỉ đúng màn hình. K6 nói không tìm thấy, không bịa.</t>
        </is>
      </c>
      <c r="F19" s="5" t="inlineStr">
        <is>
          <t>Chưa thử</t>
        </is>
      </c>
      <c r="G19" s="3" t="inlineStr"/>
    </row>
    <row r="20">
      <c r="A20" s="2" t="inlineStr">
        <is>
          <t>S19</t>
        </is>
      </c>
      <c r="B20" s="3" t="inlineStr">
        <is>
          <t>Chịu lỗi</t>
        </is>
      </c>
      <c r="C20" s="3" t="inlineStr">
        <is>
          <t>Mất kết nối tới máy chủ EPL</t>
        </is>
      </c>
      <c r="D20" s="3" t="inlineStr">
        <is>
          <t>Bật trợ lý với --api trỏ vào một cổng KHÔNG có gì chạy (ví dụ python chay.py --api http://127.0.0.1:8001 khi chưa bật uvicorn), rồi hỏi một câu bất kỳ</t>
        </is>
      </c>
      <c r="E20" s="3" t="inlineStr">
        <is>
          <t>Đầu trang hiện 'Không nối được hệ thống EPL'; câu trả lời nói không lấy được dữ liệu — KHÔNG bịa số. Chạy lại trợ lý không có --api (về 1506) thì hỏi lại chạy bình thường.</t>
        </is>
      </c>
      <c r="F20" s="5" t="inlineStr">
        <is>
          <t>Chưa thử</t>
        </is>
      </c>
      <c r="G20" s="3" t="inlineStr"/>
    </row>
    <row r="21">
      <c r="A21" s="2" t="inlineStr">
        <is>
          <t>S20</t>
        </is>
      </c>
      <c r="B21" s="3" t="inlineStr">
        <is>
          <t>Chịu lỗi</t>
        </is>
      </c>
      <c r="C21" s="3" t="inlineStr">
        <is>
          <t>Bấm Thử lại</t>
        </is>
      </c>
      <c r="D21" s="3" t="inlineStr">
        <is>
          <t>Khi một câu bị lỗi, bấm nút 'Thử lại' dưới câu đó</t>
        </is>
      </c>
      <c r="E21" s="3" t="inlineStr">
        <is>
          <t>Hỏi lại đúng câu vừa rồi, không phải gõ lại.</t>
        </is>
      </c>
      <c r="F21" s="5" t="inlineStr">
        <is>
          <t>Chưa thử</t>
        </is>
      </c>
      <c r="G21" s="3" t="inlineStr"/>
    </row>
    <row r="22">
      <c r="A22" s="2" t="inlineStr">
        <is>
          <t>S21</t>
        </is>
      </c>
      <c r="B22" s="3" t="inlineStr">
        <is>
          <t>Điện thoại</t>
        </is>
      </c>
      <c r="C22" s="3" t="inlineStr">
        <is>
          <t>Mở trên điện thoại</t>
        </is>
      </c>
      <c r="D22" s="3" t="inlineStr">
        <is>
          <t>Trên điện thoại cùng Wi-Fi, mở http://&lt;IP máy&gt;:8090</t>
        </is>
      </c>
      <c r="E22" s="3" t="inlineStr">
        <is>
          <t>Thanh bên thu vào, có nút ☰ để mở; ô nhập và chuông vẫn bấm được; chữ không tràn ngang.</t>
        </is>
      </c>
      <c r="F22" s="5" t="inlineStr">
        <is>
          <t>Chưa thử</t>
        </is>
      </c>
      <c r="G22" s="3" t="inlineStr"/>
    </row>
  </sheetData>
  <dataValidations count="1">
    <dataValidation sqref="F2:F22" showDropDown="0" showInputMessage="0" showErrorMessage="0" allowBlank="1" type="list">
      <formula1>"Đạt,Không đạt,Chưa thử"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3" customWidth="1" min="4" max="4"/>
    <col width="12" customWidth="1" min="5" max="5"/>
    <col width="12" customWidth="1" min="6" max="6"/>
  </cols>
  <sheetData>
    <row r="1" ht="30" customHeight="1">
      <c r="A1" s="1" t="inlineStr">
        <is>
          <t>Nhóm câu hỏi</t>
        </is>
      </c>
      <c r="B1" s="1" t="inlineStr">
        <is>
          <t>Tổng câu</t>
        </is>
      </c>
      <c r="C1" s="1" t="inlineStr">
        <is>
          <t>Đạt</t>
        </is>
      </c>
      <c r="D1" s="1" t="inlineStr">
        <is>
          <t>Không đạt</t>
        </is>
      </c>
      <c r="E1" s="1" t="inlineStr">
        <is>
          <t>Chưa thử</t>
        </is>
      </c>
      <c r="F1" s="1" t="inlineStr">
        <is>
          <t>Tỉ lệ đạt</t>
        </is>
      </c>
    </row>
    <row r="2">
      <c r="A2" s="3" t="inlineStr">
        <is>
          <t>Tổng quan</t>
        </is>
      </c>
      <c r="B2" s="5">
        <f>COUNTIF('Câu hỏi 3 ngôn ngữ'!$B$2:$B$74,A2)</f>
        <v/>
      </c>
      <c r="C2" s="5">
        <f>COUNTIFS('Câu hỏi 3 ngôn ngữ'!$B$2:$B$74,A2,'Câu hỏi 3 ngôn ngữ'!$H$2:$H$74,"Đạt")</f>
        <v/>
      </c>
      <c r="D2" s="5">
        <f>COUNTIFS('Câu hỏi 3 ngôn ngữ'!$B$2:$B$74,A2,'Câu hỏi 3 ngôn ngữ'!$H$2:$H$74,"Không đạt")</f>
        <v/>
      </c>
      <c r="E2" s="5">
        <f>COUNTIFS('Câu hỏi 3 ngôn ngữ'!$B$2:$B$74,A2,'Câu hỏi 3 ngôn ngữ'!$H$2:$H$74,"Chưa thử")</f>
        <v/>
      </c>
      <c r="F2" s="10">
        <f>IF(B2=0,"",C2/B2)</f>
        <v/>
      </c>
    </row>
    <row r="3">
      <c r="A3" s="3" t="inlineStr">
        <is>
          <t>Lệnh giao hàng</t>
        </is>
      </c>
      <c r="B3" s="5">
        <f>COUNTIF('Câu hỏi 3 ngôn ngữ'!$B$2:$B$74,A3)</f>
        <v/>
      </c>
      <c r="C3" s="5">
        <f>COUNTIFS('Câu hỏi 3 ngôn ngữ'!$B$2:$B$74,A3,'Câu hỏi 3 ngôn ngữ'!$H$2:$H$74,"Đạt")</f>
        <v/>
      </c>
      <c r="D3" s="5">
        <f>COUNTIFS('Câu hỏi 3 ngôn ngữ'!$B$2:$B$74,A3,'Câu hỏi 3 ngôn ngữ'!$H$2:$H$74,"Không đạt")</f>
        <v/>
      </c>
      <c r="E3" s="5">
        <f>COUNTIFS('Câu hỏi 3 ngôn ngữ'!$B$2:$B$74,A3,'Câu hỏi 3 ngôn ngữ'!$H$2:$H$74,"Chưa thử")</f>
        <v/>
      </c>
      <c r="F3" s="10">
        <f>IF(B3=0,"",C3/B3)</f>
        <v/>
      </c>
    </row>
    <row r="4">
      <c r="A4" s="3" t="inlineStr">
        <is>
          <t>Chuyến</t>
        </is>
      </c>
      <c r="B4" s="5">
        <f>COUNTIF('Câu hỏi 3 ngôn ngữ'!$B$2:$B$74,A4)</f>
        <v/>
      </c>
      <c r="C4" s="5">
        <f>COUNTIFS('Câu hỏi 3 ngôn ngữ'!$B$2:$B$74,A4,'Câu hỏi 3 ngôn ngữ'!$H$2:$H$74,"Đạt")</f>
        <v/>
      </c>
      <c r="D4" s="5">
        <f>COUNTIFS('Câu hỏi 3 ngôn ngữ'!$B$2:$B$74,A4,'Câu hỏi 3 ngôn ngữ'!$H$2:$H$74,"Không đạt")</f>
        <v/>
      </c>
      <c r="E4" s="5">
        <f>COUNTIFS('Câu hỏi 3 ngôn ngữ'!$B$2:$B$74,A4,'Câu hỏi 3 ngôn ngữ'!$H$2:$H$74,"Chưa thử")</f>
        <v/>
      </c>
      <c r="F4" s="10">
        <f>IF(B4=0,"",C4/B4)</f>
        <v/>
      </c>
    </row>
    <row r="5">
      <c r="A5" s="3" t="inlineStr">
        <is>
          <t>Sự cố</t>
        </is>
      </c>
      <c r="B5" s="5">
        <f>COUNTIF('Câu hỏi 3 ngôn ngữ'!$B$2:$B$74,A5)</f>
        <v/>
      </c>
      <c r="C5" s="5">
        <f>COUNTIFS('Câu hỏi 3 ngôn ngữ'!$B$2:$B$74,A5,'Câu hỏi 3 ngôn ngữ'!$H$2:$H$74,"Đạt")</f>
        <v/>
      </c>
      <c r="D5" s="5">
        <f>COUNTIFS('Câu hỏi 3 ngôn ngữ'!$B$2:$B$74,A5,'Câu hỏi 3 ngôn ngữ'!$H$2:$H$74,"Không đạt")</f>
        <v/>
      </c>
      <c r="E5" s="5">
        <f>COUNTIFS('Câu hỏi 3 ngôn ngữ'!$B$2:$B$74,A5,'Câu hỏi 3 ngôn ngữ'!$H$2:$H$74,"Chưa thử")</f>
        <v/>
      </c>
      <c r="F5" s="10">
        <f>IF(B5=0,"",C5/B5)</f>
        <v/>
      </c>
    </row>
    <row r="6">
      <c r="A6" s="3" t="inlineStr">
        <is>
          <t>Báo giá</t>
        </is>
      </c>
      <c r="B6" s="5">
        <f>COUNTIF('Câu hỏi 3 ngôn ngữ'!$B$2:$B$74,A6)</f>
        <v/>
      </c>
      <c r="C6" s="5">
        <f>COUNTIFS('Câu hỏi 3 ngôn ngữ'!$B$2:$B$74,A6,'Câu hỏi 3 ngôn ngữ'!$H$2:$H$74,"Đạt")</f>
        <v/>
      </c>
      <c r="D6" s="5">
        <f>COUNTIFS('Câu hỏi 3 ngôn ngữ'!$B$2:$B$74,A6,'Câu hỏi 3 ngôn ngữ'!$H$2:$H$74,"Không đạt")</f>
        <v/>
      </c>
      <c r="E6" s="5">
        <f>COUNTIFS('Câu hỏi 3 ngôn ngữ'!$B$2:$B$74,A6,'Câu hỏi 3 ngôn ngữ'!$H$2:$H$74,"Chưa thử")</f>
        <v/>
      </c>
      <c r="F6" s="10">
        <f>IF(B6=0,"",C6/B6)</f>
        <v/>
      </c>
    </row>
    <row r="7">
      <c r="A7" s="3" t="inlineStr">
        <is>
          <t>Cơ hội</t>
        </is>
      </c>
      <c r="B7" s="5">
        <f>COUNTIF('Câu hỏi 3 ngôn ngữ'!$B$2:$B$74,A7)</f>
        <v/>
      </c>
      <c r="C7" s="5">
        <f>COUNTIFS('Câu hỏi 3 ngôn ngữ'!$B$2:$B$74,A7,'Câu hỏi 3 ngôn ngữ'!$H$2:$H$74,"Đạt")</f>
        <v/>
      </c>
      <c r="D7" s="5">
        <f>COUNTIFS('Câu hỏi 3 ngôn ngữ'!$B$2:$B$74,A7,'Câu hỏi 3 ngôn ngữ'!$H$2:$H$74,"Không đạt")</f>
        <v/>
      </c>
      <c r="E7" s="5">
        <f>COUNTIFS('Câu hỏi 3 ngôn ngữ'!$B$2:$B$74,A7,'Câu hỏi 3 ngôn ngữ'!$H$2:$H$74,"Chưa thử")</f>
        <v/>
      </c>
      <c r="F7" s="10">
        <f>IF(B7=0,"",C7/B7)</f>
        <v/>
      </c>
    </row>
    <row r="8">
      <c r="A8" s="3" t="inlineStr">
        <is>
          <t>Khách hàng</t>
        </is>
      </c>
      <c r="B8" s="5">
        <f>COUNTIF('Câu hỏi 3 ngôn ngữ'!$B$2:$B$74,A8)</f>
        <v/>
      </c>
      <c r="C8" s="5">
        <f>COUNTIFS('Câu hỏi 3 ngôn ngữ'!$B$2:$B$74,A8,'Câu hỏi 3 ngôn ngữ'!$H$2:$H$74,"Đạt")</f>
        <v/>
      </c>
      <c r="D8" s="5">
        <f>COUNTIFS('Câu hỏi 3 ngôn ngữ'!$B$2:$B$74,A8,'Câu hỏi 3 ngôn ngữ'!$H$2:$H$74,"Không đạt")</f>
        <v/>
      </c>
      <c r="E8" s="5">
        <f>COUNTIFS('Câu hỏi 3 ngôn ngữ'!$B$2:$B$74,A8,'Câu hỏi 3 ngôn ngữ'!$H$2:$H$74,"Chưa thử")</f>
        <v/>
      </c>
      <c r="F8" s="10">
        <f>IF(B8=0,"",C8/B8)</f>
        <v/>
      </c>
    </row>
    <row r="9">
      <c r="A9" s="3" t="inlineStr">
        <is>
          <t>Đội xe</t>
        </is>
      </c>
      <c r="B9" s="5">
        <f>COUNTIF('Câu hỏi 3 ngôn ngữ'!$B$2:$B$74,A9)</f>
        <v/>
      </c>
      <c r="C9" s="5">
        <f>COUNTIFS('Câu hỏi 3 ngôn ngữ'!$B$2:$B$74,A9,'Câu hỏi 3 ngôn ngữ'!$H$2:$H$74,"Đạt")</f>
        <v/>
      </c>
      <c r="D9" s="5">
        <f>COUNTIFS('Câu hỏi 3 ngôn ngữ'!$B$2:$B$74,A9,'Câu hỏi 3 ngôn ngữ'!$H$2:$H$74,"Không đạt")</f>
        <v/>
      </c>
      <c r="E9" s="5">
        <f>COUNTIFS('Câu hỏi 3 ngôn ngữ'!$B$2:$B$74,A9,'Câu hỏi 3 ngôn ngữ'!$H$2:$H$74,"Chưa thử")</f>
        <v/>
      </c>
      <c r="F9" s="10">
        <f>IF(B9=0,"",C9/B9)</f>
        <v/>
      </c>
    </row>
    <row r="10">
      <c r="A10" s="3" t="inlineStr">
        <is>
          <t>Tài xế</t>
        </is>
      </c>
      <c r="B10" s="5">
        <f>COUNTIF('Câu hỏi 3 ngôn ngữ'!$B$2:$B$74,A10)</f>
        <v/>
      </c>
      <c r="C10" s="5">
        <f>COUNTIFS('Câu hỏi 3 ngôn ngữ'!$B$2:$B$74,A10,'Câu hỏi 3 ngôn ngữ'!$H$2:$H$74,"Đạt")</f>
        <v/>
      </c>
      <c r="D10" s="5">
        <f>COUNTIFS('Câu hỏi 3 ngôn ngữ'!$B$2:$B$74,A10,'Câu hỏi 3 ngôn ngữ'!$H$2:$H$74,"Không đạt")</f>
        <v/>
      </c>
      <c r="E10" s="5">
        <f>COUNTIFS('Câu hỏi 3 ngôn ngữ'!$B$2:$B$74,A10,'Câu hỏi 3 ngôn ngữ'!$H$2:$H$74,"Chưa thử")</f>
        <v/>
      </c>
      <c r="F10" s="10">
        <f>IF(B10=0,"",C10/B10)</f>
        <v/>
      </c>
    </row>
    <row r="11">
      <c r="A11" s="3" t="inlineStr">
        <is>
          <t>Tuyến</t>
        </is>
      </c>
      <c r="B11" s="5">
        <f>COUNTIF('Câu hỏi 3 ngôn ngữ'!$B$2:$B$74,A11)</f>
        <v/>
      </c>
      <c r="C11" s="5">
        <f>COUNTIFS('Câu hỏi 3 ngôn ngữ'!$B$2:$B$74,A11,'Câu hỏi 3 ngôn ngữ'!$H$2:$H$74,"Đạt")</f>
        <v/>
      </c>
      <c r="D11" s="5">
        <f>COUNTIFS('Câu hỏi 3 ngôn ngữ'!$B$2:$B$74,A11,'Câu hỏi 3 ngôn ngữ'!$H$2:$H$74,"Không đạt")</f>
        <v/>
      </c>
      <c r="E11" s="5">
        <f>COUNTIFS('Câu hỏi 3 ngôn ngữ'!$B$2:$B$74,A11,'Câu hỏi 3 ngôn ngữ'!$H$2:$H$74,"Chưa thử")</f>
        <v/>
      </c>
      <c r="F11" s="10">
        <f>IF(B11=0,"",C11/B11)</f>
        <v/>
      </c>
    </row>
    <row r="12">
      <c r="A12" s="3" t="inlineStr">
        <is>
          <t>Tỷ giá</t>
        </is>
      </c>
      <c r="B12" s="5">
        <f>COUNTIF('Câu hỏi 3 ngôn ngữ'!$B$2:$B$74,A12)</f>
        <v/>
      </c>
      <c r="C12" s="5">
        <f>COUNTIFS('Câu hỏi 3 ngôn ngữ'!$B$2:$B$74,A12,'Câu hỏi 3 ngôn ngữ'!$H$2:$H$74,"Đạt")</f>
        <v/>
      </c>
      <c r="D12" s="5">
        <f>COUNTIFS('Câu hỏi 3 ngôn ngữ'!$B$2:$B$74,A12,'Câu hỏi 3 ngôn ngữ'!$H$2:$H$74,"Không đạt")</f>
        <v/>
      </c>
      <c r="E12" s="5">
        <f>COUNTIFS('Câu hỏi 3 ngôn ngữ'!$B$2:$B$74,A12,'Câu hỏi 3 ngôn ngữ'!$H$2:$H$74,"Chưa thử")</f>
        <v/>
      </c>
      <c r="F12" s="10">
        <f>IF(B12=0,"",C12/B12)</f>
        <v/>
      </c>
    </row>
    <row r="13">
      <c r="A13" s="3" t="inlineStr">
        <is>
          <t>Doanh thu</t>
        </is>
      </c>
      <c r="B13" s="5">
        <f>COUNTIF('Câu hỏi 3 ngôn ngữ'!$B$2:$B$74,A13)</f>
        <v/>
      </c>
      <c r="C13" s="5">
        <f>COUNTIFS('Câu hỏi 3 ngôn ngữ'!$B$2:$B$74,A13,'Câu hỏi 3 ngôn ngữ'!$H$2:$H$74,"Đạt")</f>
        <v/>
      </c>
      <c r="D13" s="5">
        <f>COUNTIFS('Câu hỏi 3 ngôn ngữ'!$B$2:$B$74,A13,'Câu hỏi 3 ngôn ngữ'!$H$2:$H$74,"Không đạt")</f>
        <v/>
      </c>
      <c r="E13" s="5">
        <f>COUNTIFS('Câu hỏi 3 ngôn ngữ'!$B$2:$B$74,A13,'Câu hỏi 3 ngôn ngữ'!$H$2:$H$74,"Chưa thử")</f>
        <v/>
      </c>
      <c r="F13" s="10">
        <f>IF(B13=0,"",C13/B13)</f>
        <v/>
      </c>
    </row>
    <row r="14">
      <c r="A14" s="3" t="inlineStr">
        <is>
          <t>Hoàn tất</t>
        </is>
      </c>
      <c r="B14" s="5">
        <f>COUNTIF('Câu hỏi 3 ngôn ngữ'!$B$2:$B$74,A14)</f>
        <v/>
      </c>
      <c r="C14" s="5">
        <f>COUNTIFS('Câu hỏi 3 ngôn ngữ'!$B$2:$B$74,A14,'Câu hỏi 3 ngôn ngữ'!$H$2:$H$74,"Đạt")</f>
        <v/>
      </c>
      <c r="D14" s="5">
        <f>COUNTIFS('Câu hỏi 3 ngôn ngữ'!$B$2:$B$74,A14,'Câu hỏi 3 ngôn ngữ'!$H$2:$H$74,"Không đạt")</f>
        <v/>
      </c>
      <c r="E14" s="5">
        <f>COUNTIFS('Câu hỏi 3 ngôn ngữ'!$B$2:$B$74,A14,'Câu hỏi 3 ngôn ngữ'!$H$2:$H$74,"Chưa thử")</f>
        <v/>
      </c>
      <c r="F14" s="10">
        <f>IF(B14=0,"",C14/B14)</f>
        <v/>
      </c>
    </row>
    <row r="15">
      <c r="A15" s="3" t="inlineStr">
        <is>
          <t>Trí nhớ</t>
        </is>
      </c>
      <c r="B15" s="5">
        <f>COUNTIF('Câu hỏi 3 ngôn ngữ'!$B$2:$B$74,A15)</f>
        <v/>
      </c>
      <c r="C15" s="5">
        <f>COUNTIFS('Câu hỏi 3 ngôn ngữ'!$B$2:$B$74,A15,'Câu hỏi 3 ngôn ngữ'!$H$2:$H$74,"Đạt")</f>
        <v/>
      </c>
      <c r="D15" s="5">
        <f>COUNTIFS('Câu hỏi 3 ngôn ngữ'!$B$2:$B$74,A15,'Câu hỏi 3 ngôn ngữ'!$H$2:$H$74,"Không đạt")</f>
        <v/>
      </c>
      <c r="E15" s="5">
        <f>COUNTIFS('Câu hỏi 3 ngôn ngữ'!$B$2:$B$74,A15,'Câu hỏi 3 ngôn ngữ'!$H$2:$H$74,"Chưa thử")</f>
        <v/>
      </c>
      <c r="F15" s="10">
        <f>IF(B15=0,"",C15/B15)</f>
        <v/>
      </c>
    </row>
    <row r="16">
      <c r="A16" s="7" t="inlineStr">
        <is>
          <t>Ranh giới</t>
        </is>
      </c>
      <c r="B16" s="9">
        <f>COUNTIF('Câu hỏi 3 ngôn ngữ'!$B$2:$B$74,A16)</f>
        <v/>
      </c>
      <c r="C16" s="9">
        <f>COUNTIFS('Câu hỏi 3 ngôn ngữ'!$B$2:$B$74,A16,'Câu hỏi 3 ngôn ngữ'!$H$2:$H$74,"Đạt")</f>
        <v/>
      </c>
      <c r="D16" s="9">
        <f>COUNTIFS('Câu hỏi 3 ngôn ngữ'!$B$2:$B$74,A16,'Câu hỏi 3 ngôn ngữ'!$H$2:$H$74,"Không đạt")</f>
        <v/>
      </c>
      <c r="E16" s="9">
        <f>COUNTIFS('Câu hỏi 3 ngôn ngữ'!$B$2:$B$74,A16,'Câu hỏi 3 ngôn ngữ'!$H$2:$H$74,"Chưa thử")</f>
        <v/>
      </c>
      <c r="F16" s="11">
        <f>IF(B16=0,"",C16/B16)</f>
        <v/>
      </c>
    </row>
    <row r="17">
      <c r="A17" s="3" t="inlineStr">
        <is>
          <t>Ngôn ngữ</t>
        </is>
      </c>
      <c r="B17" s="5">
        <f>COUNTIF('Câu hỏi 3 ngôn ngữ'!$B$2:$B$74,A17)</f>
        <v/>
      </c>
      <c r="C17" s="5">
        <f>COUNTIFS('Câu hỏi 3 ngôn ngữ'!$B$2:$B$74,A17,'Câu hỏi 3 ngôn ngữ'!$H$2:$H$74,"Đạt")</f>
        <v/>
      </c>
      <c r="D17" s="5">
        <f>COUNTIFS('Câu hỏi 3 ngôn ngữ'!$B$2:$B$74,A17,'Câu hỏi 3 ngôn ngữ'!$H$2:$H$74,"Không đạt")</f>
        <v/>
      </c>
      <c r="E17" s="5">
        <f>COUNTIFS('Câu hỏi 3 ngôn ngữ'!$B$2:$B$74,A17,'Câu hỏi 3 ngôn ngữ'!$H$2:$H$74,"Chưa thử")</f>
        <v/>
      </c>
      <c r="F17" s="10">
        <f>IF(B17=0,"",C17/B17)</f>
        <v/>
      </c>
    </row>
    <row r="18">
      <c r="A18" s="3" t="inlineStr">
        <is>
          <t>Tiền tệ</t>
        </is>
      </c>
      <c r="B18" s="5">
        <f>COUNTIF('Câu hỏi 3 ngôn ngữ'!$B$2:$B$74,A18)</f>
        <v/>
      </c>
      <c r="C18" s="5">
        <f>COUNTIFS('Câu hỏi 3 ngôn ngữ'!$B$2:$B$74,A18,'Câu hỏi 3 ngôn ngữ'!$H$2:$H$74,"Đạt")</f>
        <v/>
      </c>
      <c r="D18" s="5">
        <f>COUNTIFS('Câu hỏi 3 ngôn ngữ'!$B$2:$B$74,A18,'Câu hỏi 3 ngôn ngữ'!$H$2:$H$74,"Không đạt")</f>
        <v/>
      </c>
      <c r="E18" s="5">
        <f>COUNTIFS('Câu hỏi 3 ngôn ngữ'!$B$2:$B$74,A18,'Câu hỏi 3 ngôn ngữ'!$H$2:$H$74,"Chưa thử")</f>
        <v/>
      </c>
      <c r="F18" s="10">
        <f>IF(B18=0,"",C18/B18)</f>
        <v/>
      </c>
    </row>
    <row r="19">
      <c r="A19" s="3" t="inlineStr">
        <is>
          <t>Định dạng</t>
        </is>
      </c>
      <c r="B19" s="5">
        <f>COUNTIF('Câu hỏi 3 ngôn ngữ'!$B$2:$B$74,A19)</f>
        <v/>
      </c>
      <c r="C19" s="5">
        <f>COUNTIFS('Câu hỏi 3 ngôn ngữ'!$B$2:$B$74,A19,'Câu hỏi 3 ngôn ngữ'!$H$2:$H$74,"Đạt")</f>
        <v/>
      </c>
      <c r="D19" s="5">
        <f>COUNTIFS('Câu hỏi 3 ngôn ngữ'!$B$2:$B$74,A19,'Câu hỏi 3 ngôn ngữ'!$H$2:$H$74,"Không đạt")</f>
        <v/>
      </c>
      <c r="E19" s="5">
        <f>COUNTIFS('Câu hỏi 3 ngôn ngữ'!$B$2:$B$74,A19,'Câu hỏi 3 ngôn ngữ'!$H$2:$H$74,"Chưa thử")</f>
        <v/>
      </c>
      <c r="F19" s="10">
        <f>IF(B19=0,"",C19/B19)</f>
        <v/>
      </c>
    </row>
    <row r="20">
      <c r="A20" s="12" t="inlineStr">
        <is>
          <t>TỔNG CỘNG</t>
        </is>
      </c>
      <c r="B20" s="13">
        <f>SUM(B2:B19)</f>
        <v/>
      </c>
      <c r="C20" s="13">
        <f>SUM(C2:C19)</f>
        <v/>
      </c>
      <c r="D20" s="13">
        <f>SUM(D2:D19)</f>
        <v/>
      </c>
      <c r="E20" s="13">
        <f>SUM(E2:E19)</f>
        <v/>
      </c>
      <c r="F20" s="14">
        <f>IF(B20=0,"",C20/B20)</f>
        <v/>
      </c>
    </row>
    <row r="22">
      <c r="A22" s="15" t="inlineStr">
        <is>
          <t>Điều kiện bắt buộc để coi là xong: nhóm Ranh giới phải đạt 100%. Nhóm này kiểm trợ lý KHÔNG làm nghiệp vụ.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 ht="30" customHeight="1">
      <c r="A1" s="1" t="inlineStr">
        <is>
          <t>Mục</t>
        </is>
      </c>
      <c r="B1" s="1" t="inlineStr">
        <is>
          <t>Giá trị tại 12/09/2026</t>
        </is>
      </c>
    </row>
    <row r="2">
      <c r="A2" s="16" t="inlineStr">
        <is>
          <t>Khách hàng</t>
        </is>
      </c>
      <c r="B2" s="3" t="inlineStr">
        <is>
          <t>15</t>
        </is>
      </c>
    </row>
    <row r="3">
      <c r="A3" s="16" t="inlineStr">
        <is>
          <t>Tuyến đường</t>
        </is>
      </c>
      <c r="B3" s="3" t="inlineStr">
        <is>
          <t>8</t>
        </is>
      </c>
    </row>
    <row r="4">
      <c r="A4" s="16" t="inlineStr">
        <is>
          <t>Xe</t>
        </is>
      </c>
      <c r="B4" s="3" t="inlineStr">
        <is>
          <t>12</t>
        </is>
      </c>
    </row>
    <row r="5">
      <c r="A5" s="16" t="inlineStr">
        <is>
          <t>Tài xế</t>
        </is>
      </c>
      <c r="B5" s="3" t="inlineStr">
        <is>
          <t>16</t>
        </is>
      </c>
    </row>
    <row r="6">
      <c r="A6" s="16" t="inlineStr">
        <is>
          <t>Loại phương tiện</t>
        </is>
      </c>
      <c r="B6" s="3" t="inlineStr">
        <is>
          <t>6</t>
        </is>
      </c>
    </row>
    <row r="7">
      <c r="A7" s="16" t="inlineStr">
        <is>
          <t>Tiền tệ</t>
        </is>
      </c>
      <c r="B7" s="3" t="inlineStr">
        <is>
          <t>4 (VNĐ, USD 26.173,5, THB 710, LAK 1,18)</t>
        </is>
      </c>
    </row>
    <row r="8">
      <c r="A8" s="16" t="inlineStr">
        <is>
          <t>DO đang vận chuyển</t>
        </is>
      </c>
      <c r="B8" s="3" t="inlineStr">
        <is>
          <t>11</t>
        </is>
      </c>
    </row>
    <row r="9">
      <c r="A9" s="16" t="inlineStr">
        <is>
          <t>DO đã hoàn tất</t>
        </is>
      </c>
      <c r="B9" s="3" t="inlineStr">
        <is>
          <t>21</t>
        </is>
      </c>
    </row>
    <row r="10">
      <c r="A10" s="16" t="inlineStr">
        <is>
          <t>DO chờ điều phối</t>
        </is>
      </c>
      <c r="B10" s="3" t="inlineStr">
        <is>
          <t>13</t>
        </is>
      </c>
    </row>
    <row r="11">
      <c r="A11" s="16" t="inlineStr">
        <is>
          <t>DO quá hạn</t>
        </is>
      </c>
      <c r="B11" s="3" t="inlineStr">
        <is>
          <t>2 — DO-2026-0026-DO01/DO02, khách Samsung Electronics HCMC CE</t>
        </is>
      </c>
    </row>
    <row r="12">
      <c r="A12" s="16" t="inlineStr">
        <is>
          <t>DO gần trễ (24h)</t>
        </is>
      </c>
      <c r="B12" s="3" t="inlineStr">
        <is>
          <t>1</t>
        </is>
      </c>
    </row>
    <row r="13">
      <c r="A13" s="16" t="inlineStr">
        <is>
          <t>DO gặp sự cố</t>
        </is>
      </c>
      <c r="B13" s="3" t="inlineStr">
        <is>
          <t>5</t>
        </is>
      </c>
    </row>
    <row r="14">
      <c r="A14" s="16" t="inlineStr">
        <is>
          <t>Sự cố đang mở</t>
        </is>
      </c>
      <c r="B14" s="3" t="inlineStr">
        <is>
          <t>5 (1 High hàng hư hỏng, 1 High hỏng hóc, 2 Medium, 1 Low)</t>
        </is>
      </c>
    </row>
    <row r="15">
      <c r="A15" s="16" t="inlineStr">
        <is>
          <t>Chuyến đang chạy</t>
        </is>
      </c>
      <c r="B15" s="3" t="inlineStr">
        <is>
          <t>16 dòng / 12 xe · 5 chờ ký POD · 0 trễ hạn</t>
        </is>
      </c>
    </row>
    <row r="16">
      <c r="A16" s="16" t="inlineStr">
        <is>
          <t>Báo giá đang mở</t>
        </is>
      </c>
      <c r="B16" s="3" t="inlineStr">
        <is>
          <t>56 · chờ khách 9 · biên dưới ngưỡng 4 · ngưỡng biên 15%</t>
        </is>
      </c>
    </row>
    <row r="17">
      <c r="A17" s="16" t="inlineStr">
        <is>
          <t>Tỉ lệ chốt 30 ngày</t>
        </is>
      </c>
      <c r="B17" s="3" t="inlineStr">
        <is>
          <t>91,3%</t>
        </is>
      </c>
    </row>
    <row r="18">
      <c r="A18" s="16" t="inlineStr">
        <is>
          <t>Cơ hội đang mở</t>
        </is>
      </c>
      <c r="B18" s="3" t="inlineStr">
        <is>
          <t>19 (mới 5, đã báo giá 14) · thắng 42 · mất 4</t>
        </is>
      </c>
    </row>
    <row r="19">
      <c r="A19" s="16" t="inlineStr">
        <is>
          <t>Xe rảnh / đang chạy</t>
        </is>
      </c>
      <c r="B19" s="3" t="inlineStr">
        <is>
          <t>0 / 12 · 3 giấy tờ sắp hết hạn · 0 hết hạn</t>
        </is>
      </c>
    </row>
    <row r="20">
      <c r="A20" s="16" t="inlineStr">
        <is>
          <t>Tài xế rảnh / đang chạy</t>
        </is>
      </c>
      <c r="B20" s="3" t="inlineStr">
        <is>
          <t>4 / 12 · 1 bằng lái sắp hết hạn (DEMO-DRV-001, 25/09)</t>
        </is>
      </c>
    </row>
    <row r="21">
      <c r="A21" s="16" t="inlineStr">
        <is>
          <t>Bộ dữ liệu demo tài xế</t>
        </is>
      </c>
      <c r="B21" s="3" t="inlineStr">
        <is>
          <t>Somsak Phommachanh (DEMO-DRV-015) · xe DEMO-61H-888.02 · chuyến TRIP-TAIXE-DEMO-01 chở DO-2026-0050-DO01 (Vinamilk) và DO-2026-0051-DO01 (Acecook), mỗi lệnh 1.406.000 VNĐ</t>
        </is>
      </c>
    </row>
    <row r="23">
      <c r="A23" s="17" t="inlineStr">
        <is>
          <t>Dữ liệu thay đổi theo thời gian. Dùng bảng này để biết thứ tự độ lớn có đúng không; con số chính xác thì đối chiếu màn hình gốc.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2026-09-13T06:37:48Z</dcterms:created>
  <dcterms:modified xmlns:dcterms="http://purl.org/dc/terms/" xmlns:xsi="http://www.w3.org/2001/XMLSchema-instance" xsi:type="dcterms:W3CDTF">2026-09-13T06:37:48Z</dcterms:modified>
</cp:coreProperties>
</file>